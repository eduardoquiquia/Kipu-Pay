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Parámetros" sheetId="1" state="visible" r:id="rId1"/>
    <sheet name="Boleta" sheetId="2" state="visible" r:id="rId2"/>
    <sheet name="Casos" sheetId="3" state="visible" r:id="rId3"/>
    <sheet name="Explic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;-&quot;S/ &quot;#,##0.00;&quot;S/ &quot;0.00"/>
  </numFmts>
  <fonts count="13">
    <font>
      <name val="Calibri"/>
      <family val="2"/>
      <color theme="1"/>
      <sz val="11"/>
      <scheme val="minor"/>
    </font>
    <font>
      <name val="Arial"/>
      <b val="1"/>
      <color rgb="001DB95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sz val="11"/>
    </font>
    <font>
      <name val="Arial"/>
      <i val="1"/>
      <color rgb="00595959"/>
      <sz val="9"/>
    </font>
    <font>
      <name val="Arial"/>
      <sz val="10"/>
    </font>
    <font>
      <name val="Arial"/>
      <color rgb="00008000"/>
      <sz val="10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121212"/>
      </patternFill>
    </fill>
    <fill>
      <patternFill patternType="solid">
        <fgColor rgb="00333333"/>
      </patternFill>
    </fill>
    <fill>
      <patternFill patternType="solid">
        <fgColor rgb="00FFF2A8"/>
      </patternFill>
    </fill>
    <fill>
      <patternFill patternType="solid">
        <fgColor rgb="00D9F7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pivotButton="0" quotePrefix="0" xfId="0"/>
    <xf numFmtId="0" fontId="12" fillId="2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2" fillId="0" borderId="1" pivotButton="0" quotePrefix="0" xfId="0"/>
    <xf numFmtId="164" fontId="4" fillId="0" borderId="1" pivotButton="0" quotePrefix="0" xfId="0"/>
    <xf numFmtId="10" fontId="4" fillId="0" borderId="1" pivotButton="0" quotePrefix="0" xfId="0"/>
    <xf numFmtId="164" fontId="5" fillId="0" borderId="1" pivotButton="0" quotePrefix="0" xfId="0"/>
    <xf numFmtId="2" fontId="4" fillId="0" borderId="1" pivotButton="0" quotePrefix="0" xfId="0"/>
    <xf numFmtId="1" fontId="4" fillId="0" borderId="1" pivotButton="0" quotePrefix="0" xfId="0"/>
    <xf numFmtId="0" fontId="6" fillId="0" borderId="0" pivotButton="0" quotePrefix="0" xfId="0"/>
    <xf numFmtId="0" fontId="2" fillId="0" borderId="1" pivotButton="0" quotePrefix="0" xfId="0"/>
    <xf numFmtId="0" fontId="12" fillId="4" borderId="1" pivotButton="0" quotePrefix="0" xfId="0"/>
    <xf numFmtId="4" fontId="4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6" fillId="0" borderId="1" applyAlignment="1" pivotButton="0" quotePrefix="0" xfId="0">
      <alignment vertical="top" wrapText="1"/>
    </xf>
    <xf numFmtId="0" fontId="3" fillId="3" borderId="0" pivotButton="0" quotePrefix="0" xfId="0"/>
    <xf numFmtId="0" fontId="12" fillId="3" borderId="0" pivotButton="0" quotePrefix="0" xfId="0"/>
    <xf numFmtId="164" fontId="2" fillId="0" borderId="1" pivotButton="0" quotePrefix="0" xfId="0"/>
    <xf numFmtId="0" fontId="6" fillId="0" borderId="1" pivotButton="0" quotePrefix="0" xfId="0"/>
    <xf numFmtId="164" fontId="7" fillId="0" borderId="1" pivotButton="0" quotePrefix="0" xfId="0"/>
    <xf numFmtId="164" fontId="8" fillId="5" borderId="1" pivotButton="0" quotePrefix="0" xfId="0"/>
    <xf numFmtId="0" fontId="9" fillId="0" borderId="0" pivotButton="0" quotePrefix="0" xfId="0"/>
    <xf numFmtId="0" fontId="6" fillId="0" borderId="1" applyAlignment="1" pivotButton="0" quotePrefix="0" xfId="0">
      <alignment horizontal="center"/>
    </xf>
    <xf numFmtId="164" fontId="10" fillId="0" borderId="1" pivotButton="0" quotePrefix="0" xfId="0"/>
    <xf numFmtId="10" fontId="10" fillId="0" borderId="1" pivotButton="0" quotePrefix="0" xfId="0"/>
    <xf numFmtId="0" fontId="12" fillId="4" borderId="0" pivotButton="0" quotePrefix="0" xfId="0"/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11" fillId="0" borderId="1" applyAlignment="1" pivotButton="0" quotePrefix="0" xfId="0">
      <alignment vertical="top" wrapText="1"/>
    </xf>
    <xf numFmtId="0" fontId="8" fillId="0" borderId="0" pivotButton="0" quotePrefix="0" xfId="0"/>
    <xf numFmtId="0" fontId="10" fillId="0" borderId="0" pivotButton="0" quotePrefix="0" xfId="0"/>
    <xf numFmtId="1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Kipu Pay</author>
  </authors>
  <commentList>
    <comment ref="B37" authorId="0" shapeId="0">
      <text>
        <t>Respuestas publicadas en Actividad_Grupo_B.docx (casos 1–3). El caso 4 no tiene respuesta: lo revisa el docente.</t>
      </text>
    </comment>
    <comment ref="B38" authorId="0" shapeId="0">
      <text>
        <t>Resultados de la app Kipu Pay, verificados con sus pruebas unitarias (BoletaTests.swift).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2" customWidth="1" min="3" max="3"/>
    <col width="18" customWidth="1" min="4" max="4"/>
    <col width="58" customWidth="1" min="5" max="5"/>
  </cols>
  <sheetData>
    <row r="1">
      <c r="A1" s="1" t="inlineStr">
        <is>
          <t>Kipu Pay · Parámetros laborales</t>
        </is>
      </c>
      <c r="B1" s="2" t="n"/>
      <c r="C1" s="2" t="n"/>
      <c r="D1" s="2" t="n"/>
      <c r="E1" s="2" t="n"/>
    </row>
    <row r="2">
      <c r="A2" s="3" t="inlineStr">
        <is>
          <t>Valores usados por todas las fórmulas. Celdas en azul = datos editables. Simulación académica.</t>
        </is>
      </c>
      <c r="B2" s="4" t="n"/>
      <c r="C2" s="4" t="n"/>
      <c r="D2" s="4" t="n"/>
      <c r="E2" s="4" t="n"/>
    </row>
    <row r="3">
      <c r="A3" s="5" t="inlineStr">
        <is>
          <t>Parámetro</t>
        </is>
      </c>
      <c r="B3" s="5" t="inlineStr">
        <is>
          <t>Valor</t>
        </is>
      </c>
      <c r="C3" s="5" t="inlineStr">
        <is>
          <t>Fuente</t>
        </is>
      </c>
      <c r="D3" s="5" t="inlineStr">
        <is>
          <t>Fecha de consulta</t>
        </is>
      </c>
      <c r="E3" s="5" t="inlineStr">
        <is>
          <t>Nota</t>
        </is>
      </c>
    </row>
    <row r="4">
      <c r="A4" s="6" t="inlineStr">
        <is>
          <t>RMV</t>
        </is>
      </c>
      <c r="B4" s="7" t="n">
        <v>1230</v>
      </c>
      <c r="C4" s="6" t="inlineStr">
        <is>
          <t>D.S. 015-2026-TR, vigente desde el 01/10/2026</t>
        </is>
      </c>
      <c r="D4" s="6" t="inlineStr">
        <is>
          <t>28/10/2026</t>
        </is>
      </c>
      <c r="E4" s="6" t="inlineStr">
        <is>
          <t>Publicado en El Peruano.</t>
        </is>
      </c>
    </row>
    <row r="5">
      <c r="A5" s="6" t="inlineStr">
        <is>
          <t>Asignación familiar (% de la RMV)</t>
        </is>
      </c>
      <c r="B5" s="8" t="n">
        <v>0.1</v>
      </c>
      <c r="C5" s="6" t="inlineStr">
        <is>
          <t>Ley 25129</t>
        </is>
      </c>
      <c r="D5" s="6" t="inlineStr">
        <is>
          <t>28/10/2026</t>
        </is>
      </c>
      <c r="E5" s="6" t="inlineStr"/>
    </row>
    <row r="6">
      <c r="A6" s="6" t="inlineStr">
        <is>
          <t>Asignación familiar (monto)</t>
        </is>
      </c>
      <c r="B6" s="9">
        <f>ROUND(B4*B5,2)</f>
        <v/>
      </c>
      <c r="C6" s="6" t="inlineStr">
        <is>
          <t>Ley 25129</t>
        </is>
      </c>
      <c r="D6" s="6" t="inlineStr">
        <is>
          <t>28/10/2026</t>
        </is>
      </c>
      <c r="E6" s="6" t="inlineStr">
        <is>
          <t>Calculado: RMV × 10%. No se prorratea por días.</t>
        </is>
      </c>
    </row>
    <row r="7">
      <c r="A7" s="6" t="inlineStr">
        <is>
          <t>ONP</t>
        </is>
      </c>
      <c r="B7" s="8" t="n">
        <v>0.13</v>
      </c>
      <c r="C7" s="6" t="inlineStr">
        <is>
          <t>D.L. 19990</t>
        </is>
      </c>
      <c r="D7" s="6" t="inlineStr">
        <is>
          <t>28/10/2026</t>
        </is>
      </c>
      <c r="E7" s="6" t="inlineStr">
        <is>
          <t>Sobre el total de remuneraciones.</t>
        </is>
      </c>
    </row>
    <row r="8">
      <c r="A8" s="6" t="inlineStr">
        <is>
          <t>EsSalud (empleador)</t>
        </is>
      </c>
      <c r="B8" s="8" t="n">
        <v>0.09</v>
      </c>
      <c r="C8" s="6" t="inlineStr">
        <is>
          <t>Ley 26790</t>
        </is>
      </c>
      <c r="D8" s="6" t="inlineStr">
        <is>
          <t>28/10/2026</t>
        </is>
      </c>
      <c r="E8" s="6" t="inlineStr">
        <is>
          <t>Lo paga el empleador; no se descuenta.</t>
        </is>
      </c>
    </row>
    <row r="9">
      <c r="A9" s="6" t="inlineStr">
        <is>
          <t>Multiplicador horas extras 25%</t>
        </is>
      </c>
      <c r="B9" s="10" t="n">
        <v>1.25</v>
      </c>
      <c r="C9" s="6" t="inlineStr">
        <is>
          <t>Normas de jornada y sobretiempo</t>
        </is>
      </c>
      <c r="D9" s="6" t="inlineStr">
        <is>
          <t>28/10/2026</t>
        </is>
      </c>
      <c r="E9" s="6" t="inlineStr"/>
    </row>
    <row r="10">
      <c r="A10" s="6" t="inlineStr">
        <is>
          <t>Multiplicador horas extras 35%</t>
        </is>
      </c>
      <c r="B10" s="10" t="n">
        <v>1.35</v>
      </c>
      <c r="C10" s="6" t="inlineStr">
        <is>
          <t>Normas de jornada y sobretiempo</t>
        </is>
      </c>
      <c r="D10" s="6" t="inlineStr">
        <is>
          <t>28/10/2026</t>
        </is>
      </c>
      <c r="E10" s="6" t="inlineStr"/>
    </row>
    <row r="11">
      <c r="A11" s="6" t="inlineStr">
        <is>
          <t>Días del mes (divisor)</t>
        </is>
      </c>
      <c r="B11" s="11" t="n">
        <v>30</v>
      </c>
      <c r="C11" s="6" t="inlineStr">
        <is>
          <t>Convención del enunciado</t>
        </is>
      </c>
      <c r="D11" s="6" t="inlineStr">
        <is>
          <t>28/10/2026</t>
        </is>
      </c>
      <c r="E11" s="6" t="inlineStr"/>
    </row>
    <row r="12">
      <c r="A12" s="6" t="inlineStr">
        <is>
          <t>Horas por jornada (divisor)</t>
        </is>
      </c>
      <c r="B12" s="11" t="n">
        <v>8</v>
      </c>
      <c r="C12" s="6" t="inlineStr">
        <is>
          <t>Convención del enunciado</t>
        </is>
      </c>
      <c r="D12" s="6" t="inlineStr">
        <is>
          <t>28/10/2026</t>
        </is>
      </c>
      <c r="E12" s="6" t="inlineStr"/>
    </row>
    <row r="13">
      <c r="A13" s="6" t="inlineStr">
        <is>
          <t>Remuneración máxima asegurable (seguro AFP)</t>
        </is>
      </c>
      <c r="B13" s="7" t="n">
        <v>12732.7</v>
      </c>
      <c r="C13" s="6" t="inlineStr">
        <is>
          <t>SBS, comisiones y primas del SPP, devengue 10/2026</t>
        </is>
      </c>
      <c r="D13" s="6" t="inlineStr">
        <is>
          <t>28/10/2026</t>
        </is>
      </c>
      <c r="E13" s="6" t="inlineStr">
        <is>
          <t>La prima de seguro AFP se calcula solo hasta este tope (vigente oct–dic 2026).</t>
        </is>
      </c>
    </row>
    <row r="14">
      <c r="A14" s="12" t="inlineStr">
        <is>
          <t>Tasas de AFP (diccionario de tasas)</t>
        </is>
      </c>
      <c r="B14" s="4" t="n"/>
      <c r="C14" s="4" t="n"/>
      <c r="D14" s="4" t="n"/>
      <c r="E14" s="4" t="n"/>
    </row>
    <row r="15">
      <c r="A15" s="5" t="inlineStr">
        <is>
          <t>AFP</t>
        </is>
      </c>
      <c r="B15" s="5" t="inlineStr">
        <is>
          <t>Fondo</t>
        </is>
      </c>
      <c r="C15" s="5" t="inlineStr">
        <is>
          <t>Comisión</t>
        </is>
      </c>
      <c r="D15" s="5" t="inlineStr">
        <is>
          <t>Seguro</t>
        </is>
      </c>
      <c r="E15" s="5" t="inlineStr">
        <is>
          <t>Fuente</t>
        </is>
      </c>
    </row>
    <row r="16">
      <c r="A16" s="6" t="inlineStr">
        <is>
          <t>AFP Habitat · Flujo</t>
        </is>
      </c>
      <c r="B16" s="8" t="n">
        <v>0.1</v>
      </c>
      <c r="C16" s="8" t="n">
        <v>0.0147</v>
      </c>
      <c r="D16" s="8" t="n">
        <v>0.0137</v>
      </c>
      <c r="E16" s="6" t="inlineStr">
        <is>
          <t>SBS, devengue 10/2026 · comisión por flujo (mensual sobre la remuneración)</t>
        </is>
      </c>
    </row>
    <row r="17">
      <c r="A17" s="6" t="inlineStr">
        <is>
          <t>AFP Habitat · Mixta</t>
        </is>
      </c>
      <c r="B17" s="8" t="n">
        <v>0.1</v>
      </c>
      <c r="C17" s="8" t="n">
        <v>0</v>
      </c>
      <c r="D17" s="8" t="n">
        <v>0.0137</v>
      </c>
      <c r="E17" s="6" t="inlineStr">
        <is>
          <t>SBS, devengue 10/2026 · mixta: 0% sobre la remuneración; 1.25% anual sobre el saldo (no va en la boleta)</t>
        </is>
      </c>
    </row>
    <row r="18">
      <c r="A18" s="6" t="inlineStr">
        <is>
          <t>AFP Integra · Flujo</t>
        </is>
      </c>
      <c r="B18" s="8" t="n">
        <v>0.1</v>
      </c>
      <c r="C18" s="8" t="n">
        <v>0.0155</v>
      </c>
      <c r="D18" s="8" t="n">
        <v>0.0137</v>
      </c>
      <c r="E18" s="6" t="inlineStr">
        <is>
          <t>SBS, devengue 10/2026 · comisión por flujo (mensual sobre la remuneración)</t>
        </is>
      </c>
    </row>
    <row r="19">
      <c r="A19" s="6" t="inlineStr">
        <is>
          <t>AFP Integra · Mixta</t>
        </is>
      </c>
      <c r="B19" s="8" t="n">
        <v>0.1</v>
      </c>
      <c r="C19" s="8" t="n">
        <v>0</v>
      </c>
      <c r="D19" s="8" t="n">
        <v>0.0137</v>
      </c>
      <c r="E19" s="6" t="inlineStr">
        <is>
          <t>SBS, devengue 10/2026 · mixta: 0% sobre la remuneración; 0.78% anual sobre el saldo (no va en la boleta)</t>
        </is>
      </c>
    </row>
    <row r="20">
      <c r="A20" s="6" t="inlineStr">
        <is>
          <t>AFP Prima · Flujo</t>
        </is>
      </c>
      <c r="B20" s="8" t="n">
        <v>0.1</v>
      </c>
      <c r="C20" s="8" t="n">
        <v>0.016</v>
      </c>
      <c r="D20" s="8" t="n">
        <v>0.0137</v>
      </c>
      <c r="E20" s="6" t="inlineStr">
        <is>
          <t>SBS, devengue 10/2026 · comisión por flujo (mensual sobre la remuneración)</t>
        </is>
      </c>
    </row>
    <row r="21">
      <c r="A21" s="6" t="inlineStr">
        <is>
          <t>AFP Prima · Mixta</t>
        </is>
      </c>
      <c r="B21" s="8" t="n">
        <v>0.1</v>
      </c>
      <c r="C21" s="8" t="n">
        <v>0</v>
      </c>
      <c r="D21" s="8" t="n">
        <v>0.0137</v>
      </c>
      <c r="E21" s="6" t="inlineStr">
        <is>
          <t>SBS, devengue 10/2026 · mixta: 0% sobre la remuneración; 1.25% anual sobre el saldo (no va en la boleta)</t>
        </is>
      </c>
    </row>
    <row r="22">
      <c r="A22" s="13" t="inlineStr">
        <is>
          <t>AFP Profuturo · Flujo</t>
        </is>
      </c>
      <c r="B22" s="8" t="n">
        <v>0.1</v>
      </c>
      <c r="C22" s="8" t="n">
        <v>0.0169</v>
      </c>
      <c r="D22" s="8" t="n">
        <v>0.0137</v>
      </c>
      <c r="E22" s="6" t="inlineStr">
        <is>
          <t>SBS, devengue 10/2026 · comisión por flujo (mensual sobre la remuneración)</t>
        </is>
      </c>
    </row>
    <row r="23">
      <c r="A23" s="6" t="inlineStr">
        <is>
          <t>AFP Profuturo · Mixta</t>
        </is>
      </c>
      <c r="B23" s="8" t="n">
        <v>0.1</v>
      </c>
      <c r="C23" s="8" t="n">
        <v>0</v>
      </c>
      <c r="D23" s="8" t="n">
        <v>0.0137</v>
      </c>
      <c r="E23" s="6" t="inlineStr">
        <is>
          <t>SBS, devengue 10/2026 · mixta: 0% sobre la remuneración; 0.68% anual sobre el saldo (no va en la boleta)</t>
        </is>
      </c>
    </row>
    <row r="24">
      <c r="A24" s="6" t="inlineStr">
        <is>
          <t>AFP Ejemplo</t>
        </is>
      </c>
      <c r="B24" s="8" t="n">
        <v>0.1</v>
      </c>
      <c r="C24" s="8" t="n">
        <v>0.016</v>
      </c>
      <c r="D24" s="8" t="n">
        <v>0.0135</v>
      </c>
      <c r="E24" s="6" t="inlineStr">
        <is>
          <t>Valores de prueba del laboratorio, solo para los casos 3 y 4 (no es una AFP real)</t>
        </is>
      </c>
    </row>
    <row r="25">
      <c r="A25" s="14" t="n"/>
      <c r="B25" s="14" t="n"/>
      <c r="C25" s="14" t="n"/>
      <c r="D25" s="14" t="n"/>
      <c r="E25" s="6" t="inlineStr">
        <is>
          <t>Filas 25–30 libres: agrega otra AFP con sus tasas de la SBS.</t>
        </is>
      </c>
    </row>
    <row r="26">
      <c r="A26" s="14" t="n"/>
      <c r="B26" s="14" t="n"/>
      <c r="C26" s="14" t="n"/>
      <c r="D26" s="14" t="n"/>
      <c r="E26" s="6" t="n"/>
    </row>
    <row r="27">
      <c r="A27" s="14" t="n"/>
      <c r="B27" s="14" t="n"/>
      <c r="C27" s="14" t="n"/>
      <c r="D27" s="14" t="n"/>
      <c r="E27" s="6" t="n"/>
    </row>
    <row r="28">
      <c r="A28" s="14" t="n"/>
      <c r="B28" s="14" t="n"/>
      <c r="C28" s="14" t="n"/>
      <c r="D28" s="14" t="n"/>
      <c r="E28" s="6" t="n"/>
    </row>
    <row r="29">
      <c r="A29" s="14" t="n"/>
      <c r="B29" s="14" t="n"/>
      <c r="C29" s="14" t="n"/>
      <c r="D29" s="14" t="n"/>
      <c r="E29" s="6" t="n"/>
    </row>
    <row r="30">
      <c r="A30" s="14" t="n"/>
      <c r="B30" s="14" t="n"/>
      <c r="C30" s="14" t="n"/>
      <c r="D30" s="14" t="n"/>
      <c r="E30" s="6" t="n"/>
    </row>
    <row r="31">
      <c r="A31" s="4" t="n"/>
      <c r="B31" s="4" t="n"/>
      <c r="C31" s="4" t="n"/>
      <c r="D31" s="4" t="n"/>
      <c r="E31" s="4" t="n"/>
    </row>
    <row r="32">
      <c r="A32" s="4" t="inlineStr">
        <is>
          <t>Fuentes: SBS (sbs.gob.pe › SPP › Comisiones y primas de seguros), El Peruano (D.S. 015-2026-TR), Ley 25129, D.L. 19990, Ley 26790. Las tasas AFP cambian cada mes: actualízalas antes de usar el libro.</t>
        </is>
      </c>
      <c r="B32" s="4" t="n"/>
      <c r="C32" s="4" t="n"/>
      <c r="D32" s="4" t="n"/>
      <c r="E3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52" customWidth="1" min="3" max="3"/>
  </cols>
  <sheetData>
    <row r="1">
      <c r="A1" s="1" t="inlineStr">
        <is>
          <t>Kipu Pay · Boleta de pago (EJEMPLO)</t>
        </is>
      </c>
      <c r="B1" s="2" t="n"/>
      <c r="C1" s="2" t="n"/>
    </row>
    <row r="2">
      <c r="A2" s="3" t="inlineStr">
        <is>
          <t>Escribe los datos en las celdas amarillas (columna B). Todo lo demás se calcula con fórmulas.</t>
        </is>
      </c>
      <c r="B2" s="4" t="n"/>
      <c r="C2" s="4" t="n"/>
    </row>
    <row r="3">
      <c r="A3" s="4" t="n"/>
      <c r="B3" s="4" t="n"/>
      <c r="C3" s="4" t="n"/>
    </row>
    <row r="4">
      <c r="A4" s="5" t="inlineStr">
        <is>
          <t>Dato / Concepto</t>
        </is>
      </c>
      <c r="B4" s="5" t="inlineStr">
        <is>
          <t>Valor</t>
        </is>
      </c>
      <c r="C4" s="5" t="inlineStr">
        <is>
          <t>Cómo se calcula</t>
        </is>
      </c>
    </row>
    <row r="5">
      <c r="A5" s="6" t="inlineStr">
        <is>
          <t>Sueldo básico (S/)</t>
        </is>
      </c>
      <c r="B5" s="15" t="n">
        <v>3000</v>
      </c>
      <c r="C5" s="3" t="inlineStr">
        <is>
          <t>Ejemplo: datos del Caso 3 con AFP Habitat (flujo). Cámbialos por tus datos.</t>
        </is>
      </c>
    </row>
    <row r="6">
      <c r="A6" s="6" t="inlineStr">
        <is>
          <t>Días laborados (1–30)</t>
        </is>
      </c>
      <c r="B6" s="16" t="n">
        <v>30</v>
      </c>
      <c r="C6" s="4" t="n"/>
    </row>
    <row r="7">
      <c r="A7" s="6" t="inlineStr">
        <is>
          <t>¿Tiene hijos? (Sí/No)</t>
        </is>
      </c>
      <c r="B7" s="16" t="inlineStr">
        <is>
          <t>Sí</t>
        </is>
      </c>
      <c r="C7" s="4" t="n"/>
    </row>
    <row r="8">
      <c r="A8" s="6" t="inlineStr">
        <is>
          <t>Sistema de pensiones (ONP/AFP)</t>
        </is>
      </c>
      <c r="B8" s="16" t="inlineStr">
        <is>
          <t>AFP</t>
        </is>
      </c>
      <c r="C8" s="4" t="n"/>
    </row>
    <row r="9">
      <c r="A9" s="6" t="inlineStr">
        <is>
          <t>AFP (si eligió AFP)</t>
        </is>
      </c>
      <c r="B9" s="16" t="inlineStr">
        <is>
          <t>AFP Habitat · Flujo</t>
        </is>
      </c>
      <c r="C9" s="4" t="n"/>
    </row>
    <row r="10">
      <c r="A10" s="6" t="inlineStr">
        <is>
          <t>Horas extras al 25%</t>
        </is>
      </c>
      <c r="B10" s="16" t="n">
        <v>4</v>
      </c>
      <c r="C10" s="4" t="n"/>
    </row>
    <row r="11">
      <c r="A11" s="6" t="inlineStr">
        <is>
          <t>Horas extras al 35%</t>
        </is>
      </c>
      <c r="B11" s="16" t="n">
        <v>4</v>
      </c>
      <c r="C11" s="4" t="n"/>
    </row>
    <row r="12">
      <c r="A12" s="6" t="inlineStr">
        <is>
          <t>Adelantos (S/)</t>
        </is>
      </c>
      <c r="B12" s="15" t="n">
        <v>200</v>
      </c>
      <c r="C12" s="4" t="n"/>
    </row>
    <row r="13">
      <c r="A13" s="12" t="inlineStr">
        <is>
          <t>Validación</t>
        </is>
      </c>
      <c r="B13" s="17">
        <f>IF(B5="","",IF(B6="","Falta días laborados",IF(OR(NOT(ISNUMBER(B5)),B5&lt;=0),"Sueldo debe ser mayor que cero",IF(OR(NOT(ISNUMBER(B6)),B6&lt;1,B6&gt;30,B6&lt;&gt;INT(B6)),"Días: entero entre 1 y 30",IF(OR(N(B10)&lt;0,N(B11)&lt;0,N(B12)&lt;0,N(B10)&lt;&gt;INT(N(B10)),N(B11)&lt;&gt;INT(N(B11))),"Horas (enteras) y adelantos deben ser ≥ 0",IF(AND(B8="AFP",ISNA(MATCH(B9,'Parámetros'!$A$16:$A$30,0))),"AFP sin tasas configuradas","Datos válidos"))))))</f>
        <v/>
      </c>
      <c r="C13" s="4" t="n"/>
    </row>
    <row r="14">
      <c r="A14" s="4" t="n"/>
      <c r="B14" s="4" t="n"/>
      <c r="C14" s="4" t="n"/>
    </row>
    <row r="15">
      <c r="A15" s="18" t="inlineStr">
        <is>
          <t>A · REMUNERACIONES</t>
        </is>
      </c>
      <c r="B15" s="19" t="n"/>
      <c r="C15" s="19" t="n"/>
    </row>
    <row r="16">
      <c r="A16" s="6" t="inlineStr">
        <is>
          <t>Sueldo computable</t>
        </is>
      </c>
      <c r="B16" s="9">
        <f>IF(B$5="","",ROUND(B5*B6/'Parámetros'!$B$11,2))</f>
        <v/>
      </c>
      <c r="C16" s="3" t="inlineStr">
        <is>
          <t>Básico × días ÷ 30, redondeado</t>
        </is>
      </c>
    </row>
    <row r="17">
      <c r="A17" s="6" t="inlineStr">
        <is>
          <t>Asignación familiar</t>
        </is>
      </c>
      <c r="B17" s="9">
        <f>IF(B$5="","",IF(OR(B7="Sí",B7="Si"),'Parámetros'!$B$6,0))</f>
        <v/>
      </c>
      <c r="C17" s="3" t="inlineStr">
        <is>
          <t>10% de la RMV si tiene hijos; no se prorratea</t>
        </is>
      </c>
    </row>
    <row r="18">
      <c r="A18" s="6" t="inlineStr">
        <is>
          <t>Valor por hora (referencia)</t>
        </is>
      </c>
      <c r="B18" s="20">
        <f>IF(B$5="","",ROUND(B5/('Parámetros'!$B$11*'Parámetros'!$B$12),2))</f>
        <v/>
      </c>
      <c r="C18" s="3" t="inlineStr">
        <is>
          <t>Básico ÷ 30 ÷ 8, redondeado; no se suma</t>
        </is>
      </c>
    </row>
    <row r="19">
      <c r="A19" s="6" t="inlineStr">
        <is>
          <t>Horas extras 25%</t>
        </is>
      </c>
      <c r="B19" s="9">
        <f>IF(B$5="","",ROUND(B18*'Parámetros'!$B$9*N(B10),2))</f>
        <v/>
      </c>
      <c r="C19" s="3" t="inlineStr">
        <is>
          <t>Valor hora × 1.25 × horas al 25%</t>
        </is>
      </c>
    </row>
    <row r="20">
      <c r="A20" s="6" t="inlineStr">
        <is>
          <t>Horas extras 35%</t>
        </is>
      </c>
      <c r="B20" s="9">
        <f>IF(B$5="","",ROUND(B18*'Parámetros'!$B$10*N(B11),2))</f>
        <v/>
      </c>
      <c r="C20" s="3" t="inlineStr">
        <is>
          <t>Valor hora × 1.35 × horas al 35%</t>
        </is>
      </c>
    </row>
    <row r="21">
      <c r="A21" s="21" t="inlineStr">
        <is>
          <t>TOTAL REMUNERACIONES</t>
        </is>
      </c>
      <c r="B21" s="22">
        <f>IF(B$5="","",B16+B17+B19+B20)</f>
        <v/>
      </c>
      <c r="C21" s="3" t="inlineStr">
        <is>
          <t>Suma de los 4 conceptos anteriores</t>
        </is>
      </c>
    </row>
    <row r="22">
      <c r="A22" s="4" t="n"/>
      <c r="B22" s="4" t="n"/>
      <c r="C22" s="4" t="n"/>
    </row>
    <row r="23">
      <c r="A23" s="18" t="inlineStr">
        <is>
          <t>B · RETENCIONES / DESCUENTOS</t>
        </is>
      </c>
      <c r="B23" s="19" t="n"/>
      <c r="C23" s="19" t="n"/>
    </row>
    <row r="24">
      <c r="A24" s="6" t="inlineStr">
        <is>
          <t>ONP</t>
        </is>
      </c>
      <c r="B24" s="9">
        <f>IF(B$5="","",IF(B8="ONP",ROUND(B21*'Parámetros'!$B$7,2),0))</f>
        <v/>
      </c>
      <c r="C24" s="3" t="inlineStr">
        <is>
          <t>13% del total, solo si es ONP</t>
        </is>
      </c>
    </row>
    <row r="25">
      <c r="A25" s="6" t="inlineStr">
        <is>
          <t>AFP fondo</t>
        </is>
      </c>
      <c r="B25" s="9">
        <f>IF(B$5="","",IF(B8="AFP",ROUND(B21*INDEX('Parámetros'!$B$16:$B$30,MATCH(B9,'Parámetros'!$A$16:$A$30,0)),2),0))</f>
        <v/>
      </c>
      <c r="C25" s="3" t="inlineStr">
        <is>
          <t>Total × tasa de fondo, solo si es AFP</t>
        </is>
      </c>
    </row>
    <row r="26">
      <c r="A26" s="6" t="inlineStr">
        <is>
          <t>AFP comisión</t>
        </is>
      </c>
      <c r="B26" s="9">
        <f>IF(B$5="","",IF(B8="AFP",ROUND(B21*INDEX('Parámetros'!$C$16:$C$30,MATCH(B9,'Parámetros'!$A$16:$A$30,0)),2),0))</f>
        <v/>
      </c>
      <c r="C26" s="3" t="inlineStr">
        <is>
          <t>Total × tasa de comisión, solo si es AFP</t>
        </is>
      </c>
    </row>
    <row r="27">
      <c r="A27" s="6" t="inlineStr">
        <is>
          <t>AFP seguro</t>
        </is>
      </c>
      <c r="B27" s="9">
        <f>IF(B$5="","",IF(B8="AFP",ROUND(MIN(B21,'Parámetros'!$B$13)*INDEX('Parámetros'!$D$16:$D$30,MATCH(B9,'Parámetros'!$A$16:$A$30,0)),2),0))</f>
        <v/>
      </c>
      <c r="C27" s="3" t="inlineStr">
        <is>
          <t>Mín(total; rem. máx. asegurable) × tasa de seguro, solo si es AFP</t>
        </is>
      </c>
    </row>
    <row r="28">
      <c r="A28" s="6" t="inlineStr">
        <is>
          <t>Adelantos</t>
        </is>
      </c>
      <c r="B28" s="9">
        <f>IF(B$5="","",ROUND(N(B12),2))</f>
        <v/>
      </c>
      <c r="C28" s="3" t="inlineStr">
        <is>
          <t>Monto ingresado, se resta tal cual</t>
        </is>
      </c>
    </row>
    <row r="29">
      <c r="A29" s="21" t="inlineStr">
        <is>
          <t>TOTAL DESCUENTOS</t>
        </is>
      </c>
      <c r="B29" s="22">
        <f>IF(B$5="","",SUM(B24:B28))</f>
        <v/>
      </c>
      <c r="C29" s="3" t="inlineStr">
        <is>
          <t>Pensión + adelantos</t>
        </is>
      </c>
    </row>
    <row r="30">
      <c r="A30" s="4" t="n"/>
      <c r="B30" s="4" t="n"/>
      <c r="C30" s="4" t="n"/>
    </row>
    <row r="31">
      <c r="A31" s="18" t="inlineStr">
        <is>
          <t>C · APORTACIONES DEL EMPLEADOR</t>
        </is>
      </c>
      <c r="B31" s="19" t="n"/>
      <c r="C31" s="19" t="n"/>
    </row>
    <row r="32">
      <c r="A32" s="6" t="inlineStr">
        <is>
          <t>EsSalud (9%)</t>
        </is>
      </c>
      <c r="B32" s="9">
        <f>IF(B$5="","",ROUND(B21*'Parámetros'!$B$8,2))</f>
        <v/>
      </c>
      <c r="C32" s="3" t="inlineStr">
        <is>
          <t>9% del total; lo paga el empleador</t>
        </is>
      </c>
    </row>
    <row r="33">
      <c r="A33" s="4" t="n"/>
      <c r="B33" s="4" t="n"/>
      <c r="C33" s="4" t="n"/>
    </row>
    <row r="34">
      <c r="A34" s="21" t="inlineStr">
        <is>
          <t>NETO A PAGAR</t>
        </is>
      </c>
      <c r="B34" s="23">
        <f>IF(B5="","",IF(B13&lt;&gt;"Datos válidos","Revisar datos",B21-B29))</f>
        <v/>
      </c>
      <c r="C34" s="3" t="inlineStr">
        <is>
          <t>Total remuneraciones − total descuentos</t>
        </is>
      </c>
    </row>
    <row r="35">
      <c r="A35" s="4" t="n"/>
      <c r="B35" s="4" t="n"/>
      <c r="C35" s="4" t="n"/>
    </row>
    <row r="36">
      <c r="A36" s="3" t="inlineStr">
        <is>
          <t>Boleta de ejemplo · Simulación académica. Valores a verificar antes de usarlos en una boleta real.</t>
        </is>
      </c>
      <c r="B36" s="4" t="n"/>
      <c r="C36" s="4" t="n"/>
    </row>
  </sheetData>
  <dataValidations count="3">
    <dataValidation sqref="B7" showDropDown="0" showInputMessage="0" showErrorMessage="0" allowBlank="1" type="list">
      <formula1>"Sí,No"</formula1>
    </dataValidation>
    <dataValidation sqref="B8" showDropDown="0" showInputMessage="0" showErrorMessage="0" allowBlank="1" type="list">
      <formula1>"ONP,AFP"</formula1>
    </dataValidation>
    <dataValidation sqref="B9" showDropDown="0" showInputMessage="0" showErrorMessage="0" allowBlank="1" type="list">
      <formula1>='Parámetros'!$A$16:$A$30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Kipu Pay · Casos de prueba y control cruzado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Mismas fórmulas que la hoja Boleta, una columna por caso. Casos 3 y 4 con AFP Ejemplo, como pide el enunciado. Columna I: caso propio.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24" t="inlineStr">
        <is>
          <t>Sueldo de una oferta real (≥ RMV). Anota enlace y fecha abajo.</t>
        </is>
      </c>
    </row>
    <row r="4" ht="30" customHeight="1">
      <c r="A4" s="5" t="inlineStr">
        <is>
          <t>Dato / Concepto</t>
        </is>
      </c>
      <c r="B4" s="5" t="inlineStr">
        <is>
          <t>Caso 1</t>
        </is>
      </c>
      <c r="C4" s="5" t="inlineStr">
        <is>
          <t>Caso 2</t>
        </is>
      </c>
      <c r="D4" s="5" t="inlineStr">
        <is>
          <t>Caso 3</t>
        </is>
      </c>
      <c r="E4" s="5" t="inlineStr">
        <is>
          <t>Caso 4</t>
        </is>
      </c>
      <c r="F4" s="5" t="inlineStr">
        <is>
          <t>Caso 3 con ONP
(pregunta 1)</t>
        </is>
      </c>
      <c r="G4" s="5" t="inlineStr">
        <is>
          <t>Caso 2 con 30 días
(pregunta 3)</t>
        </is>
      </c>
      <c r="H4" s="5" t="inlineStr">
        <is>
          <t>Caso 3 con
AFP Habitat · Flujo</t>
        </is>
      </c>
      <c r="I4" s="5" t="inlineStr">
        <is>
          <t>Caso propio</t>
        </is>
      </c>
    </row>
    <row r="5">
      <c r="A5" s="6" t="inlineStr">
        <is>
          <t>Sueldo básico (S/)</t>
        </is>
      </c>
      <c r="B5" s="15" t="n">
        <v>2500</v>
      </c>
      <c r="C5" s="15" t="n">
        <v>1800</v>
      </c>
      <c r="D5" s="15" t="n">
        <v>3000</v>
      </c>
      <c r="E5" s="15" t="n">
        <v>4200</v>
      </c>
      <c r="F5" s="15" t="n">
        <v>3000</v>
      </c>
      <c r="G5" s="15" t="n">
        <v>1800</v>
      </c>
      <c r="H5" s="15" t="n">
        <v>3000</v>
      </c>
      <c r="I5" s="15" t="n"/>
    </row>
    <row r="6">
      <c r="A6" s="6" t="inlineStr">
        <is>
          <t>Días laborados (1–30)</t>
        </is>
      </c>
      <c r="B6" s="16" t="n">
        <v>30</v>
      </c>
      <c r="C6" s="16" t="n">
        <v>27</v>
      </c>
      <c r="D6" s="16" t="n">
        <v>30</v>
      </c>
      <c r="E6" s="16" t="n">
        <v>24</v>
      </c>
      <c r="F6" s="16" t="n">
        <v>30</v>
      </c>
      <c r="G6" s="16" t="n">
        <v>30</v>
      </c>
      <c r="H6" s="16" t="n">
        <v>30</v>
      </c>
      <c r="I6" s="16" t="n"/>
    </row>
    <row r="7">
      <c r="A7" s="6" t="inlineStr">
        <is>
          <t>¿Tiene hijos? (Sí/No)</t>
        </is>
      </c>
      <c r="B7" s="16" t="inlineStr">
        <is>
          <t>No</t>
        </is>
      </c>
      <c r="C7" s="16" t="inlineStr">
        <is>
          <t>Sí</t>
        </is>
      </c>
      <c r="D7" s="16" t="inlineStr">
        <is>
          <t>Sí</t>
        </is>
      </c>
      <c r="E7" s="16" t="inlineStr">
        <is>
          <t>Sí</t>
        </is>
      </c>
      <c r="F7" s="16" t="inlineStr">
        <is>
          <t>Sí</t>
        </is>
      </c>
      <c r="G7" s="16" t="inlineStr">
        <is>
          <t>Sí</t>
        </is>
      </c>
      <c r="H7" s="16" t="inlineStr">
        <is>
          <t>Sí</t>
        </is>
      </c>
      <c r="I7" s="16" t="n"/>
    </row>
    <row r="8">
      <c r="A8" s="6" t="inlineStr">
        <is>
          <t>Sistema de pensiones (ONP/AFP)</t>
        </is>
      </c>
      <c r="B8" s="16" t="inlineStr">
        <is>
          <t>ONP</t>
        </is>
      </c>
      <c r="C8" s="16" t="inlineStr">
        <is>
          <t>ONP</t>
        </is>
      </c>
      <c r="D8" s="16" t="inlineStr">
        <is>
          <t>AFP</t>
        </is>
      </c>
      <c r="E8" s="16" t="inlineStr">
        <is>
          <t>AFP</t>
        </is>
      </c>
      <c r="F8" s="16" t="inlineStr">
        <is>
          <t>ONP</t>
        </is>
      </c>
      <c r="G8" s="16" t="inlineStr">
        <is>
          <t>ONP</t>
        </is>
      </c>
      <c r="H8" s="16" t="inlineStr">
        <is>
          <t>AFP</t>
        </is>
      </c>
      <c r="I8" s="16" t="n"/>
    </row>
    <row r="9">
      <c r="A9" s="6" t="inlineStr">
        <is>
          <t>AFP (si eligió AFP)</t>
        </is>
      </c>
      <c r="B9" s="16" t="n"/>
      <c r="C9" s="16" t="n"/>
      <c r="D9" s="16" t="inlineStr">
        <is>
          <t>AFP Ejemplo</t>
        </is>
      </c>
      <c r="E9" s="16" t="inlineStr">
        <is>
          <t>AFP Ejemplo</t>
        </is>
      </c>
      <c r="F9" s="16" t="n"/>
      <c r="G9" s="16" t="n"/>
      <c r="H9" s="16" t="inlineStr">
        <is>
          <t>AFP Habitat · Flujo</t>
        </is>
      </c>
      <c r="I9" s="16" t="n"/>
    </row>
    <row r="10">
      <c r="A10" s="6" t="inlineStr">
        <is>
          <t>Horas extras al 25%</t>
        </is>
      </c>
      <c r="B10" s="16" t="n">
        <v>0</v>
      </c>
      <c r="C10" s="16" t="n">
        <v>0</v>
      </c>
      <c r="D10" s="16" t="n">
        <v>4</v>
      </c>
      <c r="E10" s="16" t="n">
        <v>2</v>
      </c>
      <c r="F10" s="16" t="n">
        <v>4</v>
      </c>
      <c r="G10" s="16" t="n">
        <v>0</v>
      </c>
      <c r="H10" s="16" t="n">
        <v>4</v>
      </c>
      <c r="I10" s="16" t="n"/>
    </row>
    <row r="11">
      <c r="A11" s="6" t="inlineStr">
        <is>
          <t>Horas extras al 35%</t>
        </is>
      </c>
      <c r="B11" s="16" t="n">
        <v>0</v>
      </c>
      <c r="C11" s="16" t="n">
        <v>0</v>
      </c>
      <c r="D11" s="16" t="n">
        <v>4</v>
      </c>
      <c r="E11" s="16" t="n">
        <v>2</v>
      </c>
      <c r="F11" s="16" t="n">
        <v>4</v>
      </c>
      <c r="G11" s="16" t="n">
        <v>0</v>
      </c>
      <c r="H11" s="16" t="n">
        <v>4</v>
      </c>
      <c r="I11" s="16" t="n"/>
    </row>
    <row r="12">
      <c r="A12" s="6" t="inlineStr">
        <is>
          <t>Adelantos (S/)</t>
        </is>
      </c>
      <c r="B12" s="15" t="n">
        <v>0</v>
      </c>
      <c r="C12" s="15" t="n">
        <v>0</v>
      </c>
      <c r="D12" s="15" t="n">
        <v>200</v>
      </c>
      <c r="E12" s="15" t="n">
        <v>100</v>
      </c>
      <c r="F12" s="15" t="n">
        <v>200</v>
      </c>
      <c r="G12" s="15" t="n">
        <v>0</v>
      </c>
      <c r="H12" s="15" t="n">
        <v>200</v>
      </c>
      <c r="I12" s="15" t="n"/>
    </row>
    <row r="13">
      <c r="A13" s="12" t="inlineStr">
        <is>
          <t>Validación</t>
        </is>
      </c>
      <c r="B13" s="17">
        <f>IF(B5="","",IF(B6="","Falta días laborados",IF(OR(NOT(ISNUMBER(B5)),B5&lt;=0),"Sueldo debe ser mayor que cero",IF(OR(NOT(ISNUMBER(B6)),B6&lt;1,B6&gt;30,B6&lt;&gt;INT(B6)),"Días: entero entre 1 y 30",IF(OR(N(B10)&lt;0,N(B11)&lt;0,N(B12)&lt;0,N(B10)&lt;&gt;INT(N(B10)),N(B11)&lt;&gt;INT(N(B11))),"Horas (enteras) y adelantos deben ser ≥ 0",IF(AND(B8="AFP",ISNA(MATCH(B9,'Parámetros'!$A$16:$A$30,0))),"AFP sin tasas configuradas","Datos válidos"))))))</f>
        <v/>
      </c>
      <c r="C13" s="17">
        <f>IF(C5="","",IF(C6="","Falta días laborados",IF(OR(NOT(ISNUMBER(C5)),C5&lt;=0),"Sueldo debe ser mayor que cero",IF(OR(NOT(ISNUMBER(C6)),C6&lt;1,C6&gt;30,C6&lt;&gt;INT(C6)),"Días: entero entre 1 y 30",IF(OR(N(C10)&lt;0,N(C11)&lt;0,N(C12)&lt;0,N(C10)&lt;&gt;INT(N(C10)),N(C11)&lt;&gt;INT(N(C11))),"Horas (enteras) y adelantos deben ser ≥ 0",IF(AND(C8="AFP",ISNA(MATCH(C9,'Parámetros'!$A$16:$A$30,0))),"AFP sin tasas configuradas","Datos válidos"))))))</f>
        <v/>
      </c>
      <c r="D13" s="17">
        <f>IF(D5="","",IF(D6="","Falta días laborados",IF(OR(NOT(ISNUMBER(D5)),D5&lt;=0),"Sueldo debe ser mayor que cero",IF(OR(NOT(ISNUMBER(D6)),D6&lt;1,D6&gt;30,D6&lt;&gt;INT(D6)),"Días: entero entre 1 y 30",IF(OR(N(D10)&lt;0,N(D11)&lt;0,N(D12)&lt;0,N(D10)&lt;&gt;INT(N(D10)),N(D11)&lt;&gt;INT(N(D11))),"Horas (enteras) y adelantos deben ser ≥ 0",IF(AND(D8="AFP",ISNA(MATCH(D9,'Parámetros'!$A$16:$A$30,0))),"AFP sin tasas configuradas","Datos válidos"))))))</f>
        <v/>
      </c>
      <c r="E13" s="17">
        <f>IF(E5="","",IF(E6="","Falta días laborados",IF(OR(NOT(ISNUMBER(E5)),E5&lt;=0),"Sueldo debe ser mayor que cero",IF(OR(NOT(ISNUMBER(E6)),E6&lt;1,E6&gt;30,E6&lt;&gt;INT(E6)),"Días: entero entre 1 y 30",IF(OR(N(E10)&lt;0,N(E11)&lt;0,N(E12)&lt;0,N(E10)&lt;&gt;INT(N(E10)),N(E11)&lt;&gt;INT(N(E11))),"Horas (enteras) y adelantos deben ser ≥ 0",IF(AND(E8="AFP",ISNA(MATCH(E9,'Parámetros'!$A$16:$A$30,0))),"AFP sin tasas configuradas","Datos válidos"))))))</f>
        <v/>
      </c>
      <c r="F13" s="17">
        <f>IF(F5="","",IF(F6="","Falta días laborados",IF(OR(NOT(ISNUMBER(F5)),F5&lt;=0),"Sueldo debe ser mayor que cero",IF(OR(NOT(ISNUMBER(F6)),F6&lt;1,F6&gt;30,F6&lt;&gt;INT(F6)),"Días: entero entre 1 y 30",IF(OR(N(F10)&lt;0,N(F11)&lt;0,N(F12)&lt;0,N(F10)&lt;&gt;INT(N(F10)),N(F11)&lt;&gt;INT(N(F11))),"Horas (enteras) y adelantos deben ser ≥ 0",IF(AND(F8="AFP",ISNA(MATCH(F9,'Parámetros'!$A$16:$A$30,0))),"AFP sin tasas configuradas","Datos válidos"))))))</f>
        <v/>
      </c>
      <c r="G13" s="17">
        <f>IF(G5="","",IF(G6="","Falta días laborados",IF(OR(NOT(ISNUMBER(G5)),G5&lt;=0),"Sueldo debe ser mayor que cero",IF(OR(NOT(ISNUMBER(G6)),G6&lt;1,G6&gt;30,G6&lt;&gt;INT(G6)),"Días: entero entre 1 y 30",IF(OR(N(G10)&lt;0,N(G11)&lt;0,N(G12)&lt;0,N(G10)&lt;&gt;INT(N(G10)),N(G11)&lt;&gt;INT(N(G11))),"Horas (enteras) y adelantos deben ser ≥ 0",IF(AND(G8="AFP",ISNA(MATCH(G9,'Parámetros'!$A$16:$A$30,0))),"AFP sin tasas configuradas","Datos válidos"))))))</f>
        <v/>
      </c>
      <c r="H13" s="17">
        <f>IF(H5="","",IF(H6="","Falta días laborados",IF(OR(NOT(ISNUMBER(H5)),H5&lt;=0),"Sueldo debe ser mayor que cero",IF(OR(NOT(ISNUMBER(H6)),H6&lt;1,H6&gt;30,H6&lt;&gt;INT(H6)),"Días: entero entre 1 y 30",IF(OR(N(H10)&lt;0,N(H11)&lt;0,N(H12)&lt;0,N(H10)&lt;&gt;INT(N(H10)),N(H11)&lt;&gt;INT(N(H11))),"Horas (enteras) y adelantos deben ser ≥ 0",IF(AND(H8="AFP",ISNA(MATCH(H9,'Parámetros'!$A$16:$A$30,0))),"AFP sin tasas configuradas","Datos válidos"))))))</f>
        <v/>
      </c>
      <c r="I13" s="17">
        <f>IF(I5="","",IF(I6="","Falta días laborados",IF(OR(NOT(ISNUMBER(I5)),I5&lt;=0),"Sueldo debe ser mayor que cero",IF(OR(NOT(ISNUMBER(I6)),I6&lt;1,I6&gt;30,I6&lt;&gt;INT(I6)),"Días: entero entre 1 y 30",IF(OR(N(I10)&lt;0,N(I11)&lt;0,N(I12)&lt;0,N(I10)&lt;&gt;INT(N(I10)),N(I11)&lt;&gt;INT(N(I11))),"Horas (enteras) y adelantos deben ser ≥ 0",IF(AND(I8="AFP",ISNA(MATCH(I9,'Parámetros'!$A$16:$A$30,0))),"AFP sin tasas configuradas","Datos válidos"))))))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18" t="inlineStr">
        <is>
          <t>A · REMUNERACIONES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6" t="inlineStr">
        <is>
          <t>Sueldo computable</t>
        </is>
      </c>
      <c r="B16" s="9">
        <f>IF(B$5="","",ROUND(B5*B6/'Parámetros'!$B$11,2))</f>
        <v/>
      </c>
      <c r="C16" s="9">
        <f>IF(C$5="","",ROUND(C5*C6/'Parámetros'!$B$11,2))</f>
        <v/>
      </c>
      <c r="D16" s="9">
        <f>IF(D$5="","",ROUND(D5*D6/'Parámetros'!$B$11,2))</f>
        <v/>
      </c>
      <c r="E16" s="9">
        <f>IF(E$5="","",ROUND(E5*E6/'Parámetros'!$B$11,2))</f>
        <v/>
      </c>
      <c r="F16" s="9">
        <f>IF(F$5="","",ROUND(F5*F6/'Parámetros'!$B$11,2))</f>
        <v/>
      </c>
      <c r="G16" s="9">
        <f>IF(G$5="","",ROUND(G5*G6/'Parámetros'!$B$11,2))</f>
        <v/>
      </c>
      <c r="H16" s="9">
        <f>IF(H$5="","",ROUND(H5*H6/'Parámetros'!$B$11,2))</f>
        <v/>
      </c>
      <c r="I16" s="9">
        <f>IF(I$5="","",ROUND(I5*I6/'Parámetros'!$B$11,2))</f>
        <v/>
      </c>
    </row>
    <row r="17">
      <c r="A17" s="6" t="inlineStr">
        <is>
          <t>Asignación familiar</t>
        </is>
      </c>
      <c r="B17" s="9">
        <f>IF(B$5="","",IF(OR(B7="Sí",B7="Si"),'Parámetros'!$B$6,0))</f>
        <v/>
      </c>
      <c r="C17" s="9">
        <f>IF(C$5="","",IF(OR(C7="Sí",C7="Si"),'Parámetros'!$B$6,0))</f>
        <v/>
      </c>
      <c r="D17" s="9">
        <f>IF(D$5="","",IF(OR(D7="Sí",D7="Si"),'Parámetros'!$B$6,0))</f>
        <v/>
      </c>
      <c r="E17" s="9">
        <f>IF(E$5="","",IF(OR(E7="Sí",E7="Si"),'Parámetros'!$B$6,0))</f>
        <v/>
      </c>
      <c r="F17" s="9">
        <f>IF(F$5="","",IF(OR(F7="Sí",F7="Si"),'Parámetros'!$B$6,0))</f>
        <v/>
      </c>
      <c r="G17" s="9">
        <f>IF(G$5="","",IF(OR(G7="Sí",G7="Si"),'Parámetros'!$B$6,0))</f>
        <v/>
      </c>
      <c r="H17" s="9">
        <f>IF(H$5="","",IF(OR(H7="Sí",H7="Si"),'Parámetros'!$B$6,0))</f>
        <v/>
      </c>
      <c r="I17" s="9">
        <f>IF(I$5="","",IF(OR(I7="Sí",I7="Si"),'Parámetros'!$B$6,0))</f>
        <v/>
      </c>
    </row>
    <row r="18">
      <c r="A18" s="6" t="inlineStr">
        <is>
          <t>Valor por hora (referencia)</t>
        </is>
      </c>
      <c r="B18" s="20">
        <f>IF(B$5="","",ROUND(B5/('Parámetros'!$B$11*'Parámetros'!$B$12),2))</f>
        <v/>
      </c>
      <c r="C18" s="20">
        <f>IF(C$5="","",ROUND(C5/('Parámetros'!$B$11*'Parámetros'!$B$12),2))</f>
        <v/>
      </c>
      <c r="D18" s="20">
        <f>IF(D$5="","",ROUND(D5/('Parámetros'!$B$11*'Parámetros'!$B$12),2))</f>
        <v/>
      </c>
      <c r="E18" s="20">
        <f>IF(E$5="","",ROUND(E5/('Parámetros'!$B$11*'Parámetros'!$B$12),2))</f>
        <v/>
      </c>
      <c r="F18" s="20">
        <f>IF(F$5="","",ROUND(F5/('Parámetros'!$B$11*'Parámetros'!$B$12),2))</f>
        <v/>
      </c>
      <c r="G18" s="20">
        <f>IF(G$5="","",ROUND(G5/('Parámetros'!$B$11*'Parámetros'!$B$12),2))</f>
        <v/>
      </c>
      <c r="H18" s="20">
        <f>IF(H$5="","",ROUND(H5/('Parámetros'!$B$11*'Parámetros'!$B$12),2))</f>
        <v/>
      </c>
      <c r="I18" s="20">
        <f>IF(I$5="","",ROUND(I5/('Parámetros'!$B$11*'Parámetros'!$B$12),2))</f>
        <v/>
      </c>
    </row>
    <row r="19">
      <c r="A19" s="6" t="inlineStr">
        <is>
          <t>Horas extras 25%</t>
        </is>
      </c>
      <c r="B19" s="9">
        <f>IF(B$5="","",ROUND(B18*'Parámetros'!$B$9*N(B10),2))</f>
        <v/>
      </c>
      <c r="C19" s="9">
        <f>IF(C$5="","",ROUND(C18*'Parámetros'!$B$9*N(C10),2))</f>
        <v/>
      </c>
      <c r="D19" s="9">
        <f>IF(D$5="","",ROUND(D18*'Parámetros'!$B$9*N(D10),2))</f>
        <v/>
      </c>
      <c r="E19" s="9">
        <f>IF(E$5="","",ROUND(E18*'Parámetros'!$B$9*N(E10),2))</f>
        <v/>
      </c>
      <c r="F19" s="9">
        <f>IF(F$5="","",ROUND(F18*'Parámetros'!$B$9*N(F10),2))</f>
        <v/>
      </c>
      <c r="G19" s="9">
        <f>IF(G$5="","",ROUND(G18*'Parámetros'!$B$9*N(G10),2))</f>
        <v/>
      </c>
      <c r="H19" s="9">
        <f>IF(H$5="","",ROUND(H18*'Parámetros'!$B$9*N(H10),2))</f>
        <v/>
      </c>
      <c r="I19" s="9">
        <f>IF(I$5="","",ROUND(I18*'Parámetros'!$B$9*N(I10),2))</f>
        <v/>
      </c>
    </row>
    <row r="20">
      <c r="A20" s="6" t="inlineStr">
        <is>
          <t>Horas extras 35%</t>
        </is>
      </c>
      <c r="B20" s="9">
        <f>IF(B$5="","",ROUND(B18*'Parámetros'!$B$10*N(B11),2))</f>
        <v/>
      </c>
      <c r="C20" s="9">
        <f>IF(C$5="","",ROUND(C18*'Parámetros'!$B$10*N(C11),2))</f>
        <v/>
      </c>
      <c r="D20" s="9">
        <f>IF(D$5="","",ROUND(D18*'Parámetros'!$B$10*N(D11),2))</f>
        <v/>
      </c>
      <c r="E20" s="9">
        <f>IF(E$5="","",ROUND(E18*'Parámetros'!$B$10*N(E11),2))</f>
        <v/>
      </c>
      <c r="F20" s="9">
        <f>IF(F$5="","",ROUND(F18*'Parámetros'!$B$10*N(F11),2))</f>
        <v/>
      </c>
      <c r="G20" s="9">
        <f>IF(G$5="","",ROUND(G18*'Parámetros'!$B$10*N(G11),2))</f>
        <v/>
      </c>
      <c r="H20" s="9">
        <f>IF(H$5="","",ROUND(H18*'Parámetros'!$B$10*N(H11),2))</f>
        <v/>
      </c>
      <c r="I20" s="9">
        <f>IF(I$5="","",ROUND(I18*'Parámetros'!$B$10*N(I11),2))</f>
        <v/>
      </c>
    </row>
    <row r="21">
      <c r="A21" s="21" t="inlineStr">
        <is>
          <t>TOTAL REMUNERACIONES</t>
        </is>
      </c>
      <c r="B21" s="22">
        <f>IF(B$5="","",B16+B17+B19+B20)</f>
        <v/>
      </c>
      <c r="C21" s="22">
        <f>IF(C$5="","",C16+C17+C19+C20)</f>
        <v/>
      </c>
      <c r="D21" s="22">
        <f>IF(D$5="","",D16+D17+D19+D20)</f>
        <v/>
      </c>
      <c r="E21" s="22">
        <f>IF(E$5="","",E16+E17+E19+E20)</f>
        <v/>
      </c>
      <c r="F21" s="22">
        <f>IF(F$5="","",F16+F17+F19+F20)</f>
        <v/>
      </c>
      <c r="G21" s="22">
        <f>IF(G$5="","",G16+G17+G19+G20)</f>
        <v/>
      </c>
      <c r="H21" s="22">
        <f>IF(H$5="","",H16+H17+H19+H20)</f>
        <v/>
      </c>
      <c r="I21" s="22">
        <f>IF(I$5="","",I16+I17+I19+I20)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18" t="inlineStr">
        <is>
          <t>B · RETENCIONES / DESCUENTOS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>
      <c r="A24" s="6" t="inlineStr">
        <is>
          <t>ONP</t>
        </is>
      </c>
      <c r="B24" s="9">
        <f>IF(B$5="","",IF(B8="ONP",ROUND(B21*'Parámetros'!$B$7,2),0))</f>
        <v/>
      </c>
      <c r="C24" s="9">
        <f>IF(C$5="","",IF(C8="ONP",ROUND(C21*'Parámetros'!$B$7,2),0))</f>
        <v/>
      </c>
      <c r="D24" s="9">
        <f>IF(D$5="","",IF(D8="ONP",ROUND(D21*'Parámetros'!$B$7,2),0))</f>
        <v/>
      </c>
      <c r="E24" s="9">
        <f>IF(E$5="","",IF(E8="ONP",ROUND(E21*'Parámetros'!$B$7,2),0))</f>
        <v/>
      </c>
      <c r="F24" s="9">
        <f>IF(F$5="","",IF(F8="ONP",ROUND(F21*'Parámetros'!$B$7,2),0))</f>
        <v/>
      </c>
      <c r="G24" s="9">
        <f>IF(G$5="","",IF(G8="ONP",ROUND(G21*'Parámetros'!$B$7,2),0))</f>
        <v/>
      </c>
      <c r="H24" s="9">
        <f>IF(H$5="","",IF(H8="ONP",ROUND(H21*'Parámetros'!$B$7,2),0))</f>
        <v/>
      </c>
      <c r="I24" s="9">
        <f>IF(I$5="","",IF(I8="ONP",ROUND(I21*'Parámetros'!$B$7,2),0))</f>
        <v/>
      </c>
    </row>
    <row r="25">
      <c r="A25" s="6" t="inlineStr">
        <is>
          <t>AFP fondo</t>
        </is>
      </c>
      <c r="B25" s="9">
        <f>IF(B$5="","",IF(B8="AFP",ROUND(B21*INDEX('Parámetros'!$B$16:$B$30,MATCH(B9,'Parámetros'!$A$16:$A$30,0)),2),0))</f>
        <v/>
      </c>
      <c r="C25" s="9">
        <f>IF(C$5="","",IF(C8="AFP",ROUND(C21*INDEX('Parámetros'!$B$16:$B$30,MATCH(C9,'Parámetros'!$A$16:$A$30,0)),2),0))</f>
        <v/>
      </c>
      <c r="D25" s="9">
        <f>IF(D$5="","",IF(D8="AFP",ROUND(D21*INDEX('Parámetros'!$B$16:$B$30,MATCH(D9,'Parámetros'!$A$16:$A$30,0)),2),0))</f>
        <v/>
      </c>
      <c r="E25" s="9">
        <f>IF(E$5="","",IF(E8="AFP",ROUND(E21*INDEX('Parámetros'!$B$16:$B$30,MATCH(E9,'Parámetros'!$A$16:$A$30,0)),2),0))</f>
        <v/>
      </c>
      <c r="F25" s="9">
        <f>IF(F$5="","",IF(F8="AFP",ROUND(F21*INDEX('Parámetros'!$B$16:$B$30,MATCH(F9,'Parámetros'!$A$16:$A$30,0)),2),0))</f>
        <v/>
      </c>
      <c r="G25" s="9">
        <f>IF(G$5="","",IF(G8="AFP",ROUND(G21*INDEX('Parámetros'!$B$16:$B$30,MATCH(G9,'Parámetros'!$A$16:$A$30,0)),2),0))</f>
        <v/>
      </c>
      <c r="H25" s="9">
        <f>IF(H$5="","",IF(H8="AFP",ROUND(H21*INDEX('Parámetros'!$B$16:$B$30,MATCH(H9,'Parámetros'!$A$16:$A$30,0)),2),0))</f>
        <v/>
      </c>
      <c r="I25" s="9">
        <f>IF(I$5="","",IF(I8="AFP",ROUND(I21*INDEX('Parámetros'!$B$16:$B$30,MATCH(I9,'Parámetros'!$A$16:$A$30,0)),2),0))</f>
        <v/>
      </c>
    </row>
    <row r="26">
      <c r="A26" s="6" t="inlineStr">
        <is>
          <t>AFP comisión</t>
        </is>
      </c>
      <c r="B26" s="9">
        <f>IF(B$5="","",IF(B8="AFP",ROUND(B21*INDEX('Parámetros'!$C$16:$C$30,MATCH(B9,'Parámetros'!$A$16:$A$30,0)),2),0))</f>
        <v/>
      </c>
      <c r="C26" s="9">
        <f>IF(C$5="","",IF(C8="AFP",ROUND(C21*INDEX('Parámetros'!$C$16:$C$30,MATCH(C9,'Parámetros'!$A$16:$A$30,0)),2),0))</f>
        <v/>
      </c>
      <c r="D26" s="9">
        <f>IF(D$5="","",IF(D8="AFP",ROUND(D21*INDEX('Parámetros'!$C$16:$C$30,MATCH(D9,'Parámetros'!$A$16:$A$30,0)),2),0))</f>
        <v/>
      </c>
      <c r="E26" s="9">
        <f>IF(E$5="","",IF(E8="AFP",ROUND(E21*INDEX('Parámetros'!$C$16:$C$30,MATCH(E9,'Parámetros'!$A$16:$A$30,0)),2),0))</f>
        <v/>
      </c>
      <c r="F26" s="9">
        <f>IF(F$5="","",IF(F8="AFP",ROUND(F21*INDEX('Parámetros'!$C$16:$C$30,MATCH(F9,'Parámetros'!$A$16:$A$30,0)),2),0))</f>
        <v/>
      </c>
      <c r="G26" s="9">
        <f>IF(G$5="","",IF(G8="AFP",ROUND(G21*INDEX('Parámetros'!$C$16:$C$30,MATCH(G9,'Parámetros'!$A$16:$A$30,0)),2),0))</f>
        <v/>
      </c>
      <c r="H26" s="9">
        <f>IF(H$5="","",IF(H8="AFP",ROUND(H21*INDEX('Parámetros'!$C$16:$C$30,MATCH(H9,'Parámetros'!$A$16:$A$30,0)),2),0))</f>
        <v/>
      </c>
      <c r="I26" s="9">
        <f>IF(I$5="","",IF(I8="AFP",ROUND(I21*INDEX('Parámetros'!$C$16:$C$30,MATCH(I9,'Parámetros'!$A$16:$A$30,0)),2),0))</f>
        <v/>
      </c>
    </row>
    <row r="27">
      <c r="A27" s="6" t="inlineStr">
        <is>
          <t>AFP seguro</t>
        </is>
      </c>
      <c r="B27" s="9">
        <f>IF(B$5="","",IF(B8="AFP",ROUND(MIN(B21,'Parámetros'!$B$13)*INDEX('Parámetros'!$D$16:$D$30,MATCH(B9,'Parámetros'!$A$16:$A$30,0)),2),0))</f>
        <v/>
      </c>
      <c r="C27" s="9">
        <f>IF(C$5="","",IF(C8="AFP",ROUND(MIN(C21,'Parámetros'!$B$13)*INDEX('Parámetros'!$D$16:$D$30,MATCH(C9,'Parámetros'!$A$16:$A$30,0)),2),0))</f>
        <v/>
      </c>
      <c r="D27" s="9">
        <f>IF(D$5="","",IF(D8="AFP",ROUND(MIN(D21,'Parámetros'!$B$13)*INDEX('Parámetros'!$D$16:$D$30,MATCH(D9,'Parámetros'!$A$16:$A$30,0)),2),0))</f>
        <v/>
      </c>
      <c r="E27" s="9">
        <f>IF(E$5="","",IF(E8="AFP",ROUND(MIN(E21,'Parámetros'!$B$13)*INDEX('Parámetros'!$D$16:$D$30,MATCH(E9,'Parámetros'!$A$16:$A$30,0)),2),0))</f>
        <v/>
      </c>
      <c r="F27" s="9">
        <f>IF(F$5="","",IF(F8="AFP",ROUND(MIN(F21,'Parámetros'!$B$13)*INDEX('Parámetros'!$D$16:$D$30,MATCH(F9,'Parámetros'!$A$16:$A$30,0)),2),0))</f>
        <v/>
      </c>
      <c r="G27" s="9">
        <f>IF(G$5="","",IF(G8="AFP",ROUND(MIN(G21,'Parámetros'!$B$13)*INDEX('Parámetros'!$D$16:$D$30,MATCH(G9,'Parámetros'!$A$16:$A$30,0)),2),0))</f>
        <v/>
      </c>
      <c r="H27" s="9">
        <f>IF(H$5="","",IF(H8="AFP",ROUND(MIN(H21,'Parámetros'!$B$13)*INDEX('Parámetros'!$D$16:$D$30,MATCH(H9,'Parámetros'!$A$16:$A$30,0)),2),0))</f>
        <v/>
      </c>
      <c r="I27" s="9">
        <f>IF(I$5="","",IF(I8="AFP",ROUND(MIN(I21,'Parámetros'!$B$13)*INDEX('Parámetros'!$D$16:$D$30,MATCH(I9,'Parámetros'!$A$16:$A$30,0)),2),0))</f>
        <v/>
      </c>
    </row>
    <row r="28">
      <c r="A28" s="6" t="inlineStr">
        <is>
          <t>Adelantos</t>
        </is>
      </c>
      <c r="B28" s="9">
        <f>IF(B$5="","",ROUND(N(B12),2))</f>
        <v/>
      </c>
      <c r="C28" s="9">
        <f>IF(C$5="","",ROUND(N(C12),2))</f>
        <v/>
      </c>
      <c r="D28" s="9">
        <f>IF(D$5="","",ROUND(N(D12),2))</f>
        <v/>
      </c>
      <c r="E28" s="9">
        <f>IF(E$5="","",ROUND(N(E12),2))</f>
        <v/>
      </c>
      <c r="F28" s="9">
        <f>IF(F$5="","",ROUND(N(F12),2))</f>
        <v/>
      </c>
      <c r="G28" s="9">
        <f>IF(G$5="","",ROUND(N(G12),2))</f>
        <v/>
      </c>
      <c r="H28" s="9">
        <f>IF(H$5="","",ROUND(N(H12),2))</f>
        <v/>
      </c>
      <c r="I28" s="9">
        <f>IF(I$5="","",ROUND(N(I12),2))</f>
        <v/>
      </c>
    </row>
    <row r="29">
      <c r="A29" s="21" t="inlineStr">
        <is>
          <t>TOTAL DESCUENTOS</t>
        </is>
      </c>
      <c r="B29" s="22">
        <f>IF(B$5="","",SUM(B24:B28))</f>
        <v/>
      </c>
      <c r="C29" s="22">
        <f>IF(C$5="","",SUM(C24:C28))</f>
        <v/>
      </c>
      <c r="D29" s="22">
        <f>IF(D$5="","",SUM(D24:D28))</f>
        <v/>
      </c>
      <c r="E29" s="22">
        <f>IF(E$5="","",SUM(E24:E28))</f>
        <v/>
      </c>
      <c r="F29" s="22">
        <f>IF(F$5="","",SUM(F24:F28))</f>
        <v/>
      </c>
      <c r="G29" s="22">
        <f>IF(G$5="","",SUM(G24:G28))</f>
        <v/>
      </c>
      <c r="H29" s="22">
        <f>IF(H$5="","",SUM(H24:H28))</f>
        <v/>
      </c>
      <c r="I29" s="22">
        <f>IF(I$5="","",SUM(I24:I28))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18" t="inlineStr">
        <is>
          <t>C · APORTACIONES DEL EMPLEADOR</t>
        </is>
      </c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>
      <c r="A32" s="6" t="inlineStr">
        <is>
          <t>EsSalud (9%)</t>
        </is>
      </c>
      <c r="B32" s="9">
        <f>IF(B$5="","",ROUND(B21*'Parámetros'!$B$8,2))</f>
        <v/>
      </c>
      <c r="C32" s="9">
        <f>IF(C$5="","",ROUND(C21*'Parámetros'!$B$8,2))</f>
        <v/>
      </c>
      <c r="D32" s="9">
        <f>IF(D$5="","",ROUND(D21*'Parámetros'!$B$8,2))</f>
        <v/>
      </c>
      <c r="E32" s="9">
        <f>IF(E$5="","",ROUND(E21*'Parámetros'!$B$8,2))</f>
        <v/>
      </c>
      <c r="F32" s="9">
        <f>IF(F$5="","",ROUND(F21*'Parámetros'!$B$8,2))</f>
        <v/>
      </c>
      <c r="G32" s="9">
        <f>IF(G$5="","",ROUND(G21*'Parámetros'!$B$8,2))</f>
        <v/>
      </c>
      <c r="H32" s="9">
        <f>IF(H$5="","",ROUND(H21*'Parámetros'!$B$8,2))</f>
        <v/>
      </c>
      <c r="I32" s="9">
        <f>IF(I$5="","",ROUND(I21*'Parámetros'!$B$8,2))</f>
        <v/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21" t="inlineStr">
        <is>
          <t>NETO A PAGAR</t>
        </is>
      </c>
      <c r="B34" s="23">
        <f>IF(B5="","",IF(B13&lt;&gt;"Datos válidos","Revisar datos",B21-B29))</f>
        <v/>
      </c>
      <c r="C34" s="23">
        <f>IF(C5="","",IF(C13&lt;&gt;"Datos válidos","Revisar datos",C21-C29))</f>
        <v/>
      </c>
      <c r="D34" s="23">
        <f>IF(D5="","",IF(D13&lt;&gt;"Datos válidos","Revisar datos",D21-D29))</f>
        <v/>
      </c>
      <c r="E34" s="23">
        <f>IF(E5="","",IF(E13&lt;&gt;"Datos válidos","Revisar datos",E21-E29))</f>
        <v/>
      </c>
      <c r="F34" s="23">
        <f>IF(F5="","",IF(F13&lt;&gt;"Datos válidos","Revisar datos",F21-F29))</f>
        <v/>
      </c>
      <c r="G34" s="23">
        <f>IF(G5="","",IF(G13&lt;&gt;"Datos válidos","Revisar datos",G21-G29))</f>
        <v/>
      </c>
      <c r="H34" s="23">
        <f>IF(H5="","",IF(H13&lt;&gt;"Datos válidos","Revisar datos",H21-H29))</f>
        <v/>
      </c>
      <c r="I34" s="23">
        <f>IF(I5="","",IF(I13&lt;&gt;"Datos válidos","Revisar datos",I21-I29))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18" t="inlineStr">
        <is>
          <t>CONTROL CRUZADO</t>
        </is>
      </c>
      <c r="B36" s="19" t="n"/>
      <c r="C36" s="19" t="n"/>
      <c r="D36" s="19" t="n"/>
      <c r="E36" s="19" t="n"/>
      <c r="F36" s="19" t="n"/>
      <c r="G36" s="19" t="n"/>
      <c r="H36" s="19" t="n"/>
      <c r="I36" s="19" t="n"/>
    </row>
    <row r="37">
      <c r="A37" s="6" t="inlineStr">
        <is>
          <t>Neto esperado (documento)</t>
        </is>
      </c>
      <c r="B37" s="7" t="n">
        <v>2175</v>
      </c>
      <c r="C37" s="7" t="n">
        <v>1516.41</v>
      </c>
      <c r="D37" s="7" t="n">
        <v>2631.73</v>
      </c>
      <c r="E37" s="6" t="n"/>
      <c r="F37" s="6" t="n"/>
      <c r="G37" s="6" t="n"/>
      <c r="H37" s="6" t="n"/>
      <c r="I37" s="6" t="n"/>
    </row>
    <row r="38">
      <c r="A38" s="6" t="inlineStr">
        <is>
          <t>Neto en la app</t>
        </is>
      </c>
      <c r="B38" s="7" t="n">
        <v>2175</v>
      </c>
      <c r="C38" s="7" t="n">
        <v>1516.41</v>
      </c>
      <c r="D38" s="7" t="n">
        <v>2631.73</v>
      </c>
      <c r="E38" s="7" t="n">
        <v>3011.17</v>
      </c>
      <c r="F38" s="6" t="n"/>
      <c r="G38" s="6" t="n"/>
      <c r="H38" s="7" t="n">
        <v>2635.31</v>
      </c>
      <c r="I38" s="6" t="n"/>
    </row>
    <row r="39">
      <c r="A39" s="6" t="inlineStr">
        <is>
          <t>Total descuentos en la app</t>
        </is>
      </c>
      <c r="B39" s="7" t="n">
        <v>325</v>
      </c>
      <c r="C39" s="7" t="n">
        <v>226.59</v>
      </c>
      <c r="D39" s="7" t="n">
        <v>621.27</v>
      </c>
      <c r="E39" s="7" t="n">
        <v>562.83</v>
      </c>
      <c r="F39" s="6" t="n"/>
      <c r="G39" s="6" t="n"/>
      <c r="H39" s="7" t="n">
        <v>617.6900000000001</v>
      </c>
      <c r="I39" s="6" t="n"/>
    </row>
    <row r="40">
      <c r="A40" s="6" t="inlineStr">
        <is>
          <t>EsSalud en la app</t>
        </is>
      </c>
      <c r="B40" s="7" t="n">
        <v>225</v>
      </c>
      <c r="C40" s="7" t="n">
        <v>156.87</v>
      </c>
      <c r="D40" s="7" t="n">
        <v>292.77</v>
      </c>
      <c r="E40" s="7" t="n">
        <v>321.66</v>
      </c>
      <c r="F40" s="6" t="n"/>
      <c r="G40" s="6" t="n"/>
      <c r="H40" s="7" t="n">
        <v>292.77</v>
      </c>
      <c r="I40" s="6" t="n"/>
    </row>
    <row r="41">
      <c r="A41" s="6" t="inlineStr">
        <is>
          <t>¿Excel = documento?</t>
        </is>
      </c>
      <c r="B41" s="25">
        <f>IF(B37="","—",IF(ABS(B34-B37)&lt;0.005,"✓ Coincide","✗ Revisar"))</f>
        <v/>
      </c>
      <c r="C41" s="25">
        <f>IF(C37="","—",IF(ABS(C34-C37)&lt;0.005,"✓ Coincide","✗ Revisar"))</f>
        <v/>
      </c>
      <c r="D41" s="25">
        <f>IF(D37="","—",IF(ABS(D34-D37)&lt;0.005,"✓ Coincide","✗ Revisar"))</f>
        <v/>
      </c>
      <c r="E41" s="25">
        <f>IF(E37="","—",IF(ABS(E34-E37)&lt;0.005,"✓ Coincide","✗ Revisar"))</f>
        <v/>
      </c>
      <c r="F41" s="25">
        <f>IF(F37="","—",IF(ABS(F34-F37)&lt;0.005,"✓ Coincide","✗ Revisar"))</f>
        <v/>
      </c>
      <c r="G41" s="25">
        <f>IF(G37="","—",IF(ABS(G34-G37)&lt;0.005,"✓ Coincide","✗ Revisar"))</f>
        <v/>
      </c>
      <c r="H41" s="25">
        <f>IF(H37="","—",IF(ABS(H34-H37)&lt;0.005,"✓ Coincide","✗ Revisar"))</f>
        <v/>
      </c>
      <c r="I41" s="25">
        <f>IF(I37="","—",IF(ABS(I34-I37)&lt;0.005,"✓ Coincide","✗ Revisar"))</f>
        <v/>
      </c>
    </row>
    <row r="42">
      <c r="A42" s="6" t="inlineStr">
        <is>
          <t>¿Excel = app?</t>
        </is>
      </c>
      <c r="B42" s="25">
        <f>IF(B38="","—",IF(AND(ABS(B34-B38)&lt;0.005,ABS(B29-B39)&lt;0.005,ABS(B32-B40)&lt;0.005),"✓ Coincide","✗ Revisar"))</f>
        <v/>
      </c>
      <c r="C42" s="25">
        <f>IF(C38="","—",IF(AND(ABS(C34-C38)&lt;0.005,ABS(C29-C39)&lt;0.005,ABS(C32-C40)&lt;0.005),"✓ Coincide","✗ Revisar"))</f>
        <v/>
      </c>
      <c r="D42" s="25">
        <f>IF(D38="","—",IF(AND(ABS(D34-D38)&lt;0.005,ABS(D29-D39)&lt;0.005,ABS(D32-D40)&lt;0.005),"✓ Coincide","✗ Revisar"))</f>
        <v/>
      </c>
      <c r="E42" s="25">
        <f>IF(E38="","—",IF(AND(ABS(E34-E38)&lt;0.005,ABS(E29-E39)&lt;0.005,ABS(E32-E40)&lt;0.005),"✓ Coincide","✗ Revisar"))</f>
        <v/>
      </c>
      <c r="F42" s="25">
        <f>IF(F38="","—",IF(AND(ABS(F34-F38)&lt;0.005,ABS(F29-F39)&lt;0.005,ABS(F32-F40)&lt;0.005),"✓ Coincide","✗ Revisar"))</f>
        <v/>
      </c>
      <c r="G42" s="25">
        <f>IF(G38="","—",IF(AND(ABS(G34-G38)&lt;0.005,ABS(G29-G39)&lt;0.005,ABS(G32-G40)&lt;0.005),"✓ Coincide","✗ Revisar"))</f>
        <v/>
      </c>
      <c r="H42" s="25">
        <f>IF(H38="","—",IF(AND(ABS(H34-H38)&lt;0.005,ABS(H29-H39)&lt;0.005,ABS(H32-H40)&lt;0.005),"✓ Coincide","✗ Revisar"))</f>
        <v/>
      </c>
      <c r="I42" s="25">
        <f>IF(I38="","—",IF(AND(ABS(I34-I38)&lt;0.005,ABS(I29-I39)&lt;0.005,ABS(I32-I40)&lt;0.005),"✓ Coincide","✗ Revisar"))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18" t="inlineStr">
        <is>
          <t>INDICADORES PARA EL ANÁLISIS</t>
        </is>
      </c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6" t="inlineStr">
        <is>
          <t>Costo para el empleador (remuneraciones + EsSalud)</t>
        </is>
      </c>
      <c r="B45" s="26">
        <f>IF(B5="","",B21+B32)</f>
        <v/>
      </c>
      <c r="C45" s="26">
        <f>IF(C5="","",C21+C32)</f>
        <v/>
      </c>
      <c r="D45" s="26">
        <f>IF(D5="","",D21+D32)</f>
        <v/>
      </c>
      <c r="E45" s="26">
        <f>IF(E5="","",E21+E32)</f>
        <v/>
      </c>
      <c r="F45" s="26">
        <f>IF(F5="","",F21+F32)</f>
        <v/>
      </c>
      <c r="G45" s="26">
        <f>IF(G5="","",G21+G32)</f>
        <v/>
      </c>
      <c r="H45" s="26">
        <f>IF(H5="","",H21+H32)</f>
        <v/>
      </c>
      <c r="I45" s="26">
        <f>IF(I5="","",I21+I32)</f>
        <v/>
      </c>
    </row>
    <row r="46">
      <c r="A46" s="6" t="inlineStr">
        <is>
          <t>% del costo que llega como neto</t>
        </is>
      </c>
      <c r="B46" s="27">
        <f>IF(OR(B5="",N(B45)=0),"",B34/B45)</f>
        <v/>
      </c>
      <c r="C46" s="27">
        <f>IF(OR(C5="",N(C45)=0),"",C34/C45)</f>
        <v/>
      </c>
      <c r="D46" s="27">
        <f>IF(OR(D5="",N(D45)=0),"",D34/D45)</f>
        <v/>
      </c>
      <c r="E46" s="27">
        <f>IF(OR(E5="",N(E45)=0),"",E34/E45)</f>
        <v/>
      </c>
      <c r="F46" s="27">
        <f>IF(OR(F5="",N(F45)=0),"",F34/F45)</f>
        <v/>
      </c>
      <c r="G46" s="27">
        <f>IF(OR(G5="",N(G45)=0),"",G34/G45)</f>
        <v/>
      </c>
      <c r="H46" s="27">
        <f>IF(OR(H5="",N(H45)=0),"",H34/H45)</f>
        <v/>
      </c>
      <c r="I46" s="27">
        <f>IF(OR(I5="",N(I45)=0),"",I34/I45)</f>
        <v/>
      </c>
    </row>
    <row r="47">
      <c r="A47" s="6" t="inlineStr">
        <is>
          <t>% del bruto que llega como neto</t>
        </is>
      </c>
      <c r="B47" s="27">
        <f>IF(OR(B5="",N(B21)=0),"",B34/B21)</f>
        <v/>
      </c>
      <c r="C47" s="27">
        <f>IF(OR(C5="",N(C21)=0),"",C34/C21)</f>
        <v/>
      </c>
      <c r="D47" s="27">
        <f>IF(OR(D5="",N(D21)=0),"",D34/D21)</f>
        <v/>
      </c>
      <c r="E47" s="27">
        <f>IF(OR(E5="",N(E21)=0),"",E34/E21)</f>
        <v/>
      </c>
      <c r="F47" s="27">
        <f>IF(OR(F5="",N(F21)=0),"",F34/F21)</f>
        <v/>
      </c>
      <c r="G47" s="27">
        <f>IF(OR(G5="",N(G21)=0),"",G34/G21)</f>
        <v/>
      </c>
      <c r="H47" s="27">
        <f>IF(OR(H5="",N(H21)=0),"",H34/H21)</f>
        <v/>
      </c>
      <c r="I47" s="27">
        <f>IF(OR(I5="",N(I21)=0),"",I34/I21)</f>
        <v/>
      </c>
    </row>
    <row r="48">
      <c r="A48" s="6" t="inlineStr">
        <is>
          <t>Horas extras / total remuneraciones</t>
        </is>
      </c>
      <c r="B48" s="27">
        <f>IF(OR(B5="",N(B21)=0),"",(B19+B20)/B21)</f>
        <v/>
      </c>
      <c r="C48" s="27">
        <f>IF(OR(C5="",N(C21)=0),"",(C19+C20)/C21)</f>
        <v/>
      </c>
      <c r="D48" s="27">
        <f>IF(OR(D5="",N(D21)=0),"",(D19+D20)/D21)</f>
        <v/>
      </c>
      <c r="E48" s="27">
        <f>IF(OR(E5="",N(E21)=0),"",(E19+E20)/E21)</f>
        <v/>
      </c>
      <c r="F48" s="27">
        <f>IF(OR(F5="",N(F21)=0),"",(F19+F20)/F21)</f>
        <v/>
      </c>
      <c r="G48" s="27">
        <f>IF(OR(G5="",N(G21)=0),"",(G19+G20)/G21)</f>
        <v/>
      </c>
      <c r="H48" s="27">
        <f>IF(OR(H5="",N(H21)=0),"",(H19+H20)/H21)</f>
        <v/>
      </c>
      <c r="I48" s="27">
        <f>IF(OR(I5="",N(I21)=0),"",(I19+I20)/I21)</f>
        <v/>
      </c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inlineStr">
        <is>
          <t>Caso propio · enlace de la oferta:</t>
        </is>
      </c>
      <c r="B50" s="28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inlineStr">
        <is>
          <t>Caso propio · fecha de consulta:</t>
        </is>
      </c>
      <c r="B51" s="28" t="n"/>
      <c r="C51" s="4" t="n"/>
      <c r="D51" s="4" t="n"/>
      <c r="E51" s="4" t="n"/>
      <c r="F51" s="4" t="n"/>
      <c r="G51" s="4" t="n"/>
      <c r="H51" s="4" t="n"/>
      <c r="I51" s="4" t="n"/>
    </row>
  </sheetData>
  <dataValidations count="3">
    <dataValidation sqref="B7 C7 D7 E7 F7 G7 H7 I7" showDropDown="0" showInputMessage="0" showErrorMessage="0" allowBlank="1" type="list">
      <formula1>"Sí,No"</formula1>
    </dataValidation>
    <dataValidation sqref="B8 C8 D8 E8 F8 G8 H8 I8" showDropDown="0" showInputMessage="0" showErrorMessage="0" allowBlank="1" type="list">
      <formula1>"ONP,AFP"</formula1>
    </dataValidation>
    <dataValidation sqref="B9 C9 D9 E9 F9 G9 H9 I9" showDropDown="0" showInputMessage="0" showErrorMessage="0" allowBlank="1" type="list">
      <formula1>='Parámetros'!$A$16:$A$30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34" customWidth="1" min="3" max="3"/>
    <col width="60" customWidth="1" min="4" max="4"/>
    <col width="18" customWidth="1" min="5" max="5"/>
  </cols>
  <sheetData>
    <row r="1">
      <c r="A1" s="1" t="inlineStr">
        <is>
          <t>Kipu Pay · Cómo se calcula la boleta</t>
        </is>
      </c>
      <c r="B1" s="2" t="n"/>
      <c r="C1" s="2" t="n"/>
      <c r="D1" s="2" t="n"/>
      <c r="E1" s="2" t="n"/>
    </row>
    <row r="2">
      <c r="A2" s="3" t="inlineStr">
        <is>
          <t>Cada fórmula en palabras, con el Caso 3 (AFP Ejemplo) como ejemplo numérico. Pensado para quien no sabe contabilidad.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5" t="inlineStr">
        <is>
          <t>Concepto</t>
        </is>
      </c>
      <c r="B4" s="5" t="inlineStr">
        <is>
          <t>Qué significa</t>
        </is>
      </c>
      <c r="C4" s="5" t="inlineStr">
        <is>
          <t>Fórmula en palabras</t>
        </is>
      </c>
      <c r="D4" s="5" t="inlineStr">
        <is>
          <t>Ejemplo (Caso 3)</t>
        </is>
      </c>
      <c r="E4" s="5" t="inlineStr">
        <is>
          <t>Resultado (Casos!D)</t>
        </is>
      </c>
    </row>
    <row r="5">
      <c r="A5" s="29" t="inlineStr">
        <is>
          <t>Sueldo computable</t>
        </is>
      </c>
      <c r="B5" s="30" t="inlineStr">
        <is>
          <t>La parte del sueldo que corresponde a los días que realmente trabajaste.</t>
        </is>
      </c>
      <c r="C5" s="30" t="inlineStr">
        <is>
          <t>Sueldo básico × días laborados ÷ 30</t>
        </is>
      </c>
      <c r="D5" s="30" t="inlineStr">
        <is>
          <t>3,000 × 30 ÷ 30</t>
        </is>
      </c>
      <c r="E5" s="31">
        <f>Casos!D16</f>
        <v/>
      </c>
    </row>
    <row r="6">
      <c r="A6" s="29" t="inlineStr">
        <is>
          <t>Asignación familiar</t>
        </is>
      </c>
      <c r="B6" s="30" t="inlineStr">
        <is>
          <t>Un monto fijo para quien tiene hijos. No baja aunque faltes días.</t>
        </is>
      </c>
      <c r="C6" s="30" t="inlineStr">
        <is>
          <t>Si tiene hijos: 10% de la RMV. Si no: 0</t>
        </is>
      </c>
      <c r="D6" s="30" t="inlineStr">
        <is>
          <t>10% × 1,230</t>
        </is>
      </c>
      <c r="E6" s="31">
        <f>Casos!D17</f>
        <v/>
      </c>
    </row>
    <row r="7">
      <c r="A7" s="29" t="inlineStr">
        <is>
          <t>Valor por hora</t>
        </is>
      </c>
      <c r="B7" s="30" t="inlineStr">
        <is>
          <t>Cuánto vale una hora normal de trabajo. Sirve para pagar las horas extras.</t>
        </is>
      </c>
      <c r="C7" s="30" t="inlineStr">
        <is>
          <t>Sueldo básico ÷ 30 ÷ 8 (redondeado a 2 decimales)</t>
        </is>
      </c>
      <c r="D7" s="30" t="inlineStr">
        <is>
          <t>3,000 ÷ 30 ÷ 8</t>
        </is>
      </c>
      <c r="E7" s="31">
        <f>Casos!D18</f>
        <v/>
      </c>
    </row>
    <row r="8">
      <c r="A8" s="29" t="inlineStr">
        <is>
          <t>Horas extras 25%</t>
        </is>
      </c>
      <c r="B8" s="30" t="inlineStr">
        <is>
          <t>Las primeras horas extra se pagan 25% más caras que una hora normal.</t>
        </is>
      </c>
      <c r="C8" s="30" t="inlineStr">
        <is>
          <t>Valor hora × 1.25 × horas al 25%</t>
        </is>
      </c>
      <c r="D8" s="30" t="inlineStr">
        <is>
          <t>12.50 × 1.25 × 4</t>
        </is>
      </c>
      <c r="E8" s="31">
        <f>Casos!D19</f>
        <v/>
      </c>
    </row>
    <row r="9">
      <c r="A9" s="29" t="inlineStr">
        <is>
          <t>Horas extras 35%</t>
        </is>
      </c>
      <c r="B9" s="30" t="inlineStr">
        <is>
          <t>Las horas extra siguientes se pagan 35% más caras.</t>
        </is>
      </c>
      <c r="C9" s="30" t="inlineStr">
        <is>
          <t>Valor hora × 1.35 × horas al 35%</t>
        </is>
      </c>
      <c r="D9" s="30" t="inlineStr">
        <is>
          <t>12.50 × 1.35 × 4</t>
        </is>
      </c>
      <c r="E9" s="31">
        <f>Casos!D20</f>
        <v/>
      </c>
    </row>
    <row r="10">
      <c r="A10" s="29" t="inlineStr">
        <is>
          <t>Total remuneraciones</t>
        </is>
      </c>
      <c r="B10" s="30" t="inlineStr">
        <is>
          <t>Todo lo que ganaste en el mes, antes de descuentos (el "bruto").</t>
        </is>
      </c>
      <c r="C10" s="30" t="inlineStr">
        <is>
          <t>Sueldo computable + asignación + horas extras 25% + horas extras 35%</t>
        </is>
      </c>
      <c r="D10" s="30" t="inlineStr">
        <is>
          <t>3,000 + 123 + 62.50 + 67.50</t>
        </is>
      </c>
      <c r="E10" s="31">
        <f>Casos!D21</f>
        <v/>
      </c>
    </row>
    <row r="11">
      <c r="A11" s="29" t="inlineStr">
        <is>
          <t>ONP</t>
        </is>
      </c>
      <c r="B11" s="30" t="inlineStr">
        <is>
          <t>Aporte al sistema público de pensiones. Solo si estás en la ONP.</t>
        </is>
      </c>
      <c r="C11" s="30" t="inlineStr">
        <is>
          <t>Total remuneraciones × 13%</t>
        </is>
      </c>
      <c r="D11" s="30" t="inlineStr">
        <is>
          <t>No aplica (está en AFP)</t>
        </is>
      </c>
      <c r="E11" s="31">
        <f>Casos!D24</f>
        <v/>
      </c>
    </row>
    <row r="12">
      <c r="A12" s="29" t="inlineStr">
        <is>
          <t>AFP fondo</t>
        </is>
      </c>
      <c r="B12" s="30" t="inlineStr">
        <is>
          <t>Lo que va a tu cuenta personal de jubilación en la AFP.</t>
        </is>
      </c>
      <c r="C12" s="30" t="inlineStr">
        <is>
          <t>Total remuneraciones × tasa de fondo</t>
        </is>
      </c>
      <c r="D12" s="30" t="inlineStr">
        <is>
          <t>3,253 × 10% = 325.30</t>
        </is>
      </c>
      <c r="E12" s="31">
        <f>Casos!D25</f>
        <v/>
      </c>
    </row>
    <row r="13">
      <c r="A13" s="29" t="inlineStr">
        <is>
          <t>AFP comisión</t>
        </is>
      </c>
      <c r="B13" s="30" t="inlineStr">
        <is>
          <t>Lo que cobra la AFP por administrar tu fondo. En la modalidad mixta es 0% en la boleta (se cobra sobre el saldo).</t>
        </is>
      </c>
      <c r="C13" s="30" t="inlineStr">
        <is>
          <t>Total remuneraciones × tasa de comisión</t>
        </is>
      </c>
      <c r="D13" s="30" t="inlineStr">
        <is>
          <t>3,253 × 1.60% = 52.048</t>
        </is>
      </c>
      <c r="E13" s="31">
        <f>Casos!D26</f>
        <v/>
      </c>
    </row>
    <row r="14">
      <c r="A14" s="29" t="inlineStr">
        <is>
          <t>AFP seguro</t>
        </is>
      </c>
      <c r="B14" s="30" t="inlineStr">
        <is>
          <t>Seguro de invalidez, sobrevivencia y gastos de sepelio. Solo se cobra hasta un tope de sueldo.</t>
        </is>
      </c>
      <c r="C14" s="30" t="inlineStr">
        <is>
          <t>Mínimo entre el total de remuneraciones y la remuneración máxima asegurable × tasa de seguro</t>
        </is>
      </c>
      <c r="D14" s="30" t="inlineStr">
        <is>
          <t>3,253 × 1.35% = 43.9155</t>
        </is>
      </c>
      <c r="E14" s="31">
        <f>Casos!D27</f>
        <v/>
      </c>
    </row>
    <row r="15">
      <c r="A15" s="29" t="inlineStr">
        <is>
          <t>Adelantos</t>
        </is>
      </c>
      <c r="B15" s="30" t="inlineStr">
        <is>
          <t>Dinero que ya recibiste antes durante el mes; se descuenta tal cual.</t>
        </is>
      </c>
      <c r="C15" s="30" t="inlineStr">
        <is>
          <t>Monto ingresado</t>
        </is>
      </c>
      <c r="D15" s="30" t="inlineStr">
        <is>
          <t>200.00</t>
        </is>
      </c>
      <c r="E15" s="31">
        <f>Casos!D28</f>
        <v/>
      </c>
    </row>
    <row r="16">
      <c r="A16" s="29" t="inlineStr">
        <is>
          <t>Total descuentos</t>
        </is>
      </c>
      <c r="B16" s="30" t="inlineStr">
        <is>
          <t>Todo lo que se resta de tu sueldo.</t>
        </is>
      </c>
      <c r="C16" s="30" t="inlineStr">
        <is>
          <t>Pensión (ONP o AFP) + adelantos</t>
        </is>
      </c>
      <c r="D16" s="30" t="inlineStr">
        <is>
          <t>325.30 + 52.05 + 43.92 + 200</t>
        </is>
      </c>
      <c r="E16" s="31">
        <f>Casos!D29</f>
        <v/>
      </c>
    </row>
    <row r="17">
      <c r="A17" s="29" t="inlineStr">
        <is>
          <t>Neto a pagar</t>
        </is>
      </c>
      <c r="B17" s="30" t="inlineStr">
        <is>
          <t>Lo que realmente llega a tu cuenta.</t>
        </is>
      </c>
      <c r="C17" s="30" t="inlineStr">
        <is>
          <t>Total remuneraciones − total descuentos</t>
        </is>
      </c>
      <c r="D17" s="30" t="inlineStr">
        <is>
          <t>3,253.00 − 621.27</t>
        </is>
      </c>
      <c r="E17" s="31">
        <f>Casos!D34</f>
        <v/>
      </c>
    </row>
    <row r="18">
      <c r="A18" s="29" t="inlineStr">
        <is>
          <t>EsSalud</t>
        </is>
      </c>
      <c r="B18" s="30" t="inlineStr">
        <is>
          <t>Seguro de salud que paga la empresa, aparte de tu sueldo. No te lo descuentan.</t>
        </is>
      </c>
      <c r="C18" s="30" t="inlineStr">
        <is>
          <t>Total remuneraciones × 9%</t>
        </is>
      </c>
      <c r="D18" s="30" t="inlineStr">
        <is>
          <t>3,253 × 9% = 292.77</t>
        </is>
      </c>
      <c r="E18" s="31">
        <f>Casos!D32</f>
        <v/>
      </c>
    </row>
    <row r="19">
      <c r="A19" s="4" t="n"/>
      <c r="B19" s="4" t="n"/>
      <c r="C19" s="4" t="n"/>
      <c r="D19" s="4" t="n"/>
      <c r="E19" s="4" t="n"/>
    </row>
    <row r="20">
      <c r="A20" s="32" t="inlineStr">
        <is>
          <t>Convenciones</t>
        </is>
      </c>
      <c r="B20" s="4" t="n"/>
      <c r="C20" s="4" t="n"/>
      <c r="D20" s="4" t="n"/>
      <c r="E20" s="4" t="n"/>
    </row>
    <row r="21">
      <c r="A21" s="33" t="inlineStr">
        <is>
          <t>• Cada concepto se redondea a 2 decimales (REDONDEAR / ROUND) y después se suman.</t>
        </is>
      </c>
      <c r="B21" s="4" t="n"/>
      <c r="C21" s="4" t="n"/>
      <c r="D21" s="4" t="n"/>
      <c r="E21" s="4" t="n"/>
    </row>
    <row r="22">
      <c r="A22" s="33" t="inlineStr">
        <is>
          <t>• El valor por hora también se redondea a 2 decimales antes de calcular las horas extras (el documento lo muestra como 12.50).</t>
        </is>
      </c>
      <c r="B22" s="4" t="n"/>
      <c r="C22" s="4" t="n"/>
      <c r="D22" s="4" t="n"/>
      <c r="E22" s="4" t="n"/>
    </row>
    <row r="23">
      <c r="A23" s="33" t="inlineStr">
        <is>
          <t>• El sueldo computable se calcula como básico × días ÷ 30 (misma fórmula; dividir al final evita errores de redondeo).</t>
        </is>
      </c>
      <c r="B23" s="4" t="n"/>
      <c r="C23" s="4" t="n"/>
      <c r="D23" s="4" t="n"/>
      <c r="E23" s="4" t="n"/>
    </row>
    <row r="24">
      <c r="A24" s="33" t="inlineStr">
        <is>
          <t>• ONP y AFP se calculan sobre el total de remuneraciones (incluye asignación familiar y horas extras). Nunca se aplican los dos.</t>
        </is>
      </c>
      <c r="B24" s="4" t="n"/>
      <c r="C24" s="4" t="n"/>
      <c r="D24" s="4" t="n"/>
      <c r="E24" s="4" t="n"/>
    </row>
    <row r="25">
      <c r="A25" s="33" t="inlineStr">
        <is>
          <t>• La prima de seguro AFP se calcula solo hasta la remuneración máxima asegurable (S/ 12,732.70, oct–dic 2026). El fondo y la comisión no tienen tope.</t>
        </is>
      </c>
      <c r="B25" s="4" t="n"/>
      <c r="C25" s="4" t="n"/>
      <c r="D25" s="4" t="n"/>
      <c r="E25" s="4" t="n"/>
    </row>
    <row r="26">
      <c r="A26" s="33" t="inlineStr">
        <is>
          <t>• No se calcula renta de 5.ª categoría. Las faltas ya están reflejadas en los días laborados.</t>
        </is>
      </c>
      <c r="B26" s="4" t="n"/>
      <c r="C26" s="4" t="n"/>
      <c r="D26" s="4" t="n"/>
      <c r="E26" s="4" t="n"/>
    </row>
    <row r="27">
      <c r="A27" s="33" t="inlineStr">
        <is>
          <t>• EsSalud no tiene base mínima en este ejercicio y no se descuenta del neto.</t>
        </is>
      </c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32" t="inlineStr">
        <is>
          <t>Preguntas de análisis</t>
        </is>
      </c>
      <c r="B30" s="4" t="n"/>
      <c r="C30" s="4" t="n"/>
      <c r="D30" s="4" t="n"/>
      <c r="E30" s="4" t="n"/>
    </row>
    <row r="31">
      <c r="A31" s="5" t="inlineStr">
        <is>
          <t>Pregunta</t>
        </is>
      </c>
      <c r="B31" s="5" t="inlineStr">
        <is>
          <t>Cifra clave</t>
        </is>
      </c>
      <c r="C31" s="5" t="inlineStr">
        <is>
          <t>Valor</t>
        </is>
      </c>
      <c r="D31" s="5" t="inlineStr">
        <is>
          <t>Respuesta</t>
        </is>
      </c>
      <c r="E31" s="5" t="inlineStr"/>
    </row>
    <row r="32">
      <c r="A32" s="29" t="inlineStr">
        <is>
          <t>1. ONP o AFP (Caso 3)</t>
        </is>
      </c>
      <c r="B32" s="30" t="inlineStr">
        <is>
          <t>Neto con AFP Ejemplo</t>
        </is>
      </c>
      <c r="C32" s="31">
        <f>Casos!D34</f>
        <v/>
      </c>
      <c r="D32" s="30" t="inlineStr">
        <is>
          <t>Con AFP Ejemplo el trabajador recibe un poco más este mes (ver diferencia). Comparar porcentajes no basta: en la AFP el fondo (10%) es ahorro en una cuenta propia, mientras que la comisión y el seguro son costos; cada AFP cobra tasas distintas y la pensión final depende de la rentabilidad. En la ONP el 13% va a un fondo común y la pensión depende de los años de aporte.</t>
        </is>
      </c>
      <c r="E32" s="4" t="n"/>
    </row>
    <row r="33">
      <c r="A33" s="29" t="inlineStr"/>
      <c r="B33" s="30" t="inlineStr">
        <is>
          <t>Neto con ONP</t>
        </is>
      </c>
      <c r="C33" s="31">
        <f>Casos!F34</f>
        <v/>
      </c>
      <c r="D33" s="30" t="inlineStr"/>
      <c r="E33" s="4" t="n"/>
    </row>
    <row r="34">
      <c r="A34" s="29" t="inlineStr"/>
      <c r="B34" s="30" t="inlineStr">
        <is>
          <t>Diferencia (AFP − ONP)</t>
        </is>
      </c>
      <c r="C34" s="31">
        <f>Casos!D34-Casos!F34</f>
        <v/>
      </c>
      <c r="D34" s="30" t="inlineStr"/>
      <c r="E34" s="4" t="n"/>
    </row>
    <row r="35">
      <c r="A35" s="29" t="inlineStr">
        <is>
          <t>2. Costo real para la empresa (Caso 3)</t>
        </is>
      </c>
      <c r="B35" s="30" t="inlineStr">
        <is>
          <t>Remuneraciones + EsSalud</t>
        </is>
      </c>
      <c r="C35" s="31">
        <f>Casos!D45</f>
        <v/>
      </c>
      <c r="D35" s="30" t="inlineStr">
        <is>
          <t>La empresa paga el total de remuneraciones más EsSalud. Del costo total, al trabajador le llega como neto el porcentaje indicado; el resto son pensión, adelantos ya cobrados y EsSalud.</t>
        </is>
      </c>
      <c r="E35" s="4" t="n"/>
    </row>
    <row r="36">
      <c r="A36" s="29" t="inlineStr"/>
      <c r="B36" s="30" t="inlineStr">
        <is>
          <t>% del costo que llega como neto</t>
        </is>
      </c>
      <c r="C36" s="34">
        <f>Casos!D46</f>
        <v/>
      </c>
      <c r="D36" s="30" t="inlineStr"/>
      <c r="E36" s="4" t="n"/>
    </row>
    <row r="37">
      <c r="A37" s="29" t="inlineStr">
        <is>
          <t>3. Días laborados (Caso 2)</t>
        </is>
      </c>
      <c r="B37" s="30" t="inlineStr">
        <is>
          <t>Neto con 27 días</t>
        </is>
      </c>
      <c r="C37" s="31">
        <f>Casos!C34</f>
        <v/>
      </c>
      <c r="D37" s="30" t="inlineStr">
        <is>
          <t>La diferencia en el neto es menor que en el bruto porque al ganar más también sube el descuento de ONP: de cada sol adicional se retiene 13%, así que el neto sube solo 87% de la diferencia bruta.</t>
        </is>
      </c>
      <c r="E37" s="4" t="n"/>
    </row>
    <row r="38">
      <c r="A38" s="29" t="inlineStr"/>
      <c r="B38" s="30" t="inlineStr">
        <is>
          <t>Neto con 30 días</t>
        </is>
      </c>
      <c r="C38" s="31">
        <f>Casos!G34</f>
        <v/>
      </c>
      <c r="D38" s="30" t="inlineStr"/>
      <c r="E38" s="4" t="n"/>
    </row>
    <row r="39">
      <c r="A39" s="29" t="inlineStr"/>
      <c r="B39" s="30" t="inlineStr">
        <is>
          <t>Diferencia en el bruto</t>
        </is>
      </c>
      <c r="C39" s="31">
        <f>Casos!G21-Casos!C21</f>
        <v/>
      </c>
      <c r="D39" s="30" t="inlineStr"/>
      <c r="E39" s="4" t="n"/>
    </row>
    <row r="40">
      <c r="A40" s="29" t="inlineStr"/>
      <c r="B40" s="30" t="inlineStr">
        <is>
          <t>Diferencia en el neto</t>
        </is>
      </c>
      <c r="C40" s="31">
        <f>Casos!G34-Casos!C34</f>
        <v/>
      </c>
      <c r="D40" s="30" t="inlineStr"/>
      <c r="E40" s="4" t="n"/>
    </row>
    <row r="41">
      <c r="A41" s="29" t="inlineStr">
        <is>
          <t>4. Horas extras (Caso 3)</t>
        </is>
      </c>
      <c r="B41" s="30" t="inlineStr">
        <is>
          <t>% del total de remuneraciones</t>
        </is>
      </c>
      <c r="C41" s="34">
        <f>Casos!D48</f>
        <v/>
      </c>
      <c r="D41" s="30" t="inlineStr">
        <is>
          <t>Las horas extras (62.50 + 67.50 = 130.00) representan este porcentaje del total de remuneraciones.</t>
        </is>
      </c>
      <c r="E41" s="4" t="n"/>
    </row>
    <row r="42">
      <c r="A42" s="29" t="inlineStr">
        <is>
          <t>5. Con datos reales</t>
        </is>
      </c>
      <c r="B42" s="30" t="inlineStr">
        <is>
          <t>% del bruto que llega como neto (caso propio)</t>
        </is>
      </c>
      <c r="C42" s="34">
        <f>Casos!I47</f>
        <v/>
      </c>
      <c r="D42" s="30" t="inlineStr">
        <is>
          <t>Completar: ingresa en Casos!I el sueldo de una oferta real (≥ RMV), anota enlace y fecha, y compara este porcentaje con el de dos compañeros.</t>
        </is>
      </c>
      <c r="E4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2026-10-28T16:58:24Z</dcterms:created>
  <dcterms:modified xsi:type="dcterms:W3CDTF">2026-10-28T16:58:24Z</dcterms:modified>
</cp:coreProperties>
</file>